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Legenda" sheetId="1" state="visible" r:id="rId3"/>
    <sheet name="Contenuti" sheetId="2" state="visible" r:id="rId4"/>
    <sheet name="Metriche" sheetId="3" state="visible" r:id="rId5"/>
    <sheet name="Riepilogo" sheetId="4" state="visible" r:id="rId6"/>
  </sheets>
  <definedNames>
    <definedName function="false" hidden="true" localSheetId="1" name="_xlnm._FilterDatabase" vbProcedure="false">Contenuti!$A$1:$K$16</definedName>
    <definedName function="false" hidden="true" localSheetId="2" name="_xlnm._FilterDatabase" vbProcedure="false">Metriche!$A$1:$Q$121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<sst xmlns="http://schemas.openxmlformats.org/spreadsheetml/2006/main" count="375" uniqueCount="166">
  <si>
    <t xml:space="preserve">CosaGuardo — Report contenuti social</t>
  </si>
  <si>
    <t xml:space="preserve">Tieni traccia di Reel/Short e caroselli, di cosa cambiamo a ogni test, e di come vanno. Il foglio Riepilogo si aggiorna da solo.</t>
  </si>
  <si>
    <t xml:space="preserve">COME SI USA</t>
  </si>
  <si>
    <t xml:space="preserve">1) Foglio CONTENUTI</t>
  </si>
  <si>
    <t xml:space="preserve">Un riga per ogni video/carosello. È già precompilato con quelli fatti finora: aggiungi la DATA quando pubblichi e i nuovi contenuti in fondo.</t>
  </si>
  <si>
    <t xml:space="preserve">2) Foglio METRICHE</t>
  </si>
  <si>
    <t xml:space="preserve">Una riga per ogni contenuto E piattaforma (es. lo stesso Reel su TikTok e su Instagram = 2 righe). Scrivi l'ID uguale a quello in Contenuti.</t>
  </si>
  <si>
    <t xml:space="preserve">3) Foglio RIEPILOGO</t>
  </si>
  <si>
    <t xml:space="preserve">Si calcola da solo: medie per tipo di apertura, formato, ecc. Più dati metti, più diventa affidabile.</t>
  </si>
  <si>
    <t xml:space="preserve">LEGENDA VALORI (usa i menù a tendina)</t>
  </si>
  <si>
    <t xml:space="preserve">Formato</t>
  </si>
  <si>
    <t xml:space="preserve">Reel/Short  |  Carosello</t>
  </si>
  <si>
    <t xml:space="preserve">Tipo</t>
  </si>
  <si>
    <t xml:space="preserve">Reel/Short  |  Carosello  |  Tier list</t>
  </si>
  <si>
    <t xml:space="preserve">Apertura</t>
  </si>
  <si>
    <t xml:space="preserve">Classica (coppia di poster)  |  Domanda 2 tempi (card domanda + coppia)  |  Cover (carosello)</t>
  </si>
  <si>
    <t xml:space="preserve">Stile parlato</t>
  </si>
  <si>
    <t xml:space="preserve">Solo titoli (corto-secco)  |  Con micro-trama (lungo)  |  —  (caroselli, niente voce)</t>
  </si>
  <si>
    <t xml:space="preserve">Piattaforma (Metriche)</t>
  </si>
  <si>
    <t xml:space="preserve">TikTok  |  Instagram  |  YouTube  |  Facebook</t>
  </si>
  <si>
    <t xml:space="preserve">QUALI DATI GUARDARE (priorità)</t>
  </si>
  <si>
    <t xml:space="preserve">Ritenzione 3s %</t>
  </si>
  <si>
    <t xml:space="preserve">Quanti restano dopo i primi 3 secondi. La trovi su TikTok Studio. È il dato chiave per l'aggancio iniziale.</t>
  </si>
  <si>
    <t xml:space="preserve">Completamento %</t>
  </si>
  <si>
    <t xml:space="preserve">Quanti arrivano alla fine (TikTok) / % media vista. Dice se il centro/durata funziona.</t>
  </si>
  <si>
    <t xml:space="preserve">Salvataggi</t>
  </si>
  <si>
    <t xml:space="preserve">La metrica che spinge di più i CAROSELLI su Instagram. Per i caroselli guarda soprattutto questo.</t>
  </si>
  <si>
    <t xml:space="preserve">Nota importante</t>
  </si>
  <si>
    <t xml:space="preserve">I numeri crescono nel tempo: segna la DATA RILEVAZIONE e confronta sempre a parità di giorni dalla pubblicazione.</t>
  </si>
  <si>
    <t xml:space="preserve">ID</t>
  </si>
  <si>
    <t xml:space="preserve">Data pubbl.</t>
  </si>
  <si>
    <t xml:space="preserve">Tema / Coppia</t>
  </si>
  <si>
    <t xml:space="preserve">Chicca (quale)</t>
  </si>
  <si>
    <t xml:space="preserve">Musica</t>
  </si>
  <si>
    <t xml:space="preserve">Piattaforme</t>
  </si>
  <si>
    <t xml:space="preserve">Note / Cosa abbiamo cambiato</t>
  </si>
  <si>
    <t xml:space="preserve">R01</t>
  </si>
  <si>
    <t xml:space="preserve">Reel/Short</t>
  </si>
  <si>
    <t xml:space="preserve">Film</t>
  </si>
  <si>
    <t xml:space="preserve">Inception + Interstellar</t>
  </si>
  <si>
    <t xml:space="preserve">Classica</t>
  </si>
  <si>
    <t xml:space="preserve">Solo titoli</t>
  </si>
  <si>
    <t xml:space="preserve">Coherence, Primer</t>
  </si>
  <si>
    <t xml:space="preserve">tensione/sci-fi</t>
  </si>
  <si>
    <t xml:space="preserve">IG, TikTok, YT, FB</t>
  </si>
  <si>
    <t xml:space="preserve">Primo video. Formato corto-secco (~18s), voce dice solo i titoli.</t>
  </si>
  <si>
    <t xml:space="preserve">R02</t>
  </si>
  <si>
    <t xml:space="preserve">Parasite + Joker</t>
  </si>
  <si>
    <t xml:space="preserve">The Platform, Burning</t>
  </si>
  <si>
    <t xml:space="preserve">crime/teso</t>
  </si>
  <si>
    <t xml:space="preserve">R03</t>
  </si>
  <si>
    <t xml:space="preserve">Serie</t>
  </si>
  <si>
    <t xml:space="preserve">Dark + Stranger Things</t>
  </si>
  <si>
    <t xml:space="preserve">1899, The Leftovers, The OA</t>
  </si>
  <si>
    <t xml:space="preserve">mystery/teso</t>
  </si>
  <si>
    <t xml:space="preserve">Gancio: 'il 5° ti farà perdere la testa' annunciato all'inizio.</t>
  </si>
  <si>
    <t xml:space="preserve">R04</t>
  </si>
  <si>
    <t xml:space="preserve">Squid Game + La casa di carta</t>
  </si>
  <si>
    <t xml:space="preserve">Con micro-trama</t>
  </si>
  <si>
    <t xml:space="preserve">Kingdom, 3%</t>
  </si>
  <si>
    <t xml:space="preserve">tensione</t>
  </si>
  <si>
    <t xml:space="preserve">Primo formato lungo con un po' di trama.</t>
  </si>
  <si>
    <t xml:space="preserve">R05</t>
  </si>
  <si>
    <t xml:space="preserve">Se7en + Shutter Island</t>
  </si>
  <si>
    <t xml:space="preserve">Memories of Murder, The Chaser</t>
  </si>
  <si>
    <t xml:space="preserve">ESPERIMENTO: chicca FORTE in apertura (Memories of Murder).</t>
  </si>
  <si>
    <t xml:space="preserve">R06</t>
  </si>
  <si>
    <t xml:space="preserve">Forrest Gump + Le ali della libertà</t>
  </si>
  <si>
    <t xml:space="preserve">Quasi amici, Nuovo Cinema Paradiso</t>
  </si>
  <si>
    <t xml:space="preserve">emotivo/piano</t>
  </si>
  <si>
    <t xml:space="preserve">R07</t>
  </si>
  <si>
    <t xml:space="preserve">John Wick + Mad Max</t>
  </si>
  <si>
    <t xml:space="preserve">The Raid, La notte su di noi</t>
  </si>
  <si>
    <t xml:space="preserve">azione</t>
  </si>
  <si>
    <t xml:space="preserve">R08</t>
  </si>
  <si>
    <t xml:space="preserve">Il Trono di Spade + The Witcher</t>
  </si>
  <si>
    <t xml:space="preserve">Barbari, Tenebre e ossa</t>
  </si>
  <si>
    <t xml:space="preserve">epico/fantasy</t>
  </si>
  <si>
    <t xml:space="preserve">R09</t>
  </si>
  <si>
    <t xml:space="preserve">Il Padrino + Quei bravi ragazzi</t>
  </si>
  <si>
    <t xml:space="preserve">Domanda 2 tempi</t>
  </si>
  <si>
    <t xml:space="preserve">Il profeta</t>
  </si>
  <si>
    <t xml:space="preserve">ESPERIMENTO apertura a domanda ('QUANTI NE HAI VISTI?'). Voce a 1,1x.</t>
  </si>
  <si>
    <t xml:space="preserve">R10</t>
  </si>
  <si>
    <t xml:space="preserve">Breaking Bad + Peaky Blinders</t>
  </si>
  <si>
    <t xml:space="preserve">Suburra, ZeroZeroZero</t>
  </si>
  <si>
    <t xml:space="preserve">ESPERIMENTO apertura a domanda. Gancio '2 sono italiane'. Voce 1,1x.</t>
  </si>
  <si>
    <t xml:space="preserve">C01</t>
  </si>
  <si>
    <t xml:space="preserve">Carosello</t>
  </si>
  <si>
    <t xml:space="preserve">Serie crime da non perdere</t>
  </si>
  <si>
    <t xml:space="preserve">Cover</t>
  </si>
  <si>
    <t xml:space="preserve">—</t>
  </si>
  <si>
    <t xml:space="preserve">ZeroZeroZero</t>
  </si>
  <si>
    <t xml:space="preserve">random/—</t>
  </si>
  <si>
    <t xml:space="preserve">IG, TikTok</t>
  </si>
  <si>
    <t xml:space="preserve">Primo carosello. Screenshot schede del sito + chiusura col motore.</t>
  </si>
  <si>
    <t xml:space="preserve">C02</t>
  </si>
  <si>
    <t xml:space="preserve">1999 — anno</t>
  </si>
  <si>
    <t xml:space="preserve">Essere John Malkovich</t>
  </si>
  <si>
    <t xml:space="preserve">C03</t>
  </si>
  <si>
    <t xml:space="preserve">Finale shock</t>
  </si>
  <si>
    <t xml:space="preserve">Oldboy</t>
  </si>
  <si>
    <t xml:space="preserve">C04</t>
  </si>
  <si>
    <t xml:space="preserve">1994 — anno</t>
  </si>
  <si>
    <t xml:space="preserve">Léon</t>
  </si>
  <si>
    <t xml:space="preserve">C05</t>
  </si>
  <si>
    <t xml:space="preserve">Da finire in un weekend (miniserie)</t>
  </si>
  <si>
    <t xml:space="preserve">The Night Of</t>
  </si>
  <si>
    <t xml:space="preserve">R11</t>
  </si>
  <si>
    <t xml:space="preserve">Odissea + Il Gladiatore</t>
  </si>
  <si>
    <t xml:space="preserve">The Northman</t>
  </si>
  <si>
    <t xml:space="preserve">epico</t>
  </si>
  <si>
    <t xml:space="preserve">IG, TikTok, YT</t>
  </si>
  <si>
    <t xml:space="preserve">Pubblicato in finestra Odissea al cinema.</t>
  </si>
  <si>
    <t xml:space="preserve">C06</t>
  </si>
  <si>
    <t xml:space="preserve">Almeno una volta — grandi classici</t>
  </si>
  <si>
    <t xml:space="preserve">T01</t>
  </si>
  <si>
    <t xml:space="preserve">Tier list</t>
  </si>
  <si>
    <t xml:space="preserve">Quando smettere di guardarla</t>
  </si>
  <si>
    <t xml:space="preserve">Contenuto con la performance più alta in assoluto su IG.</t>
  </si>
  <si>
    <t xml:space="preserve">T02</t>
  </si>
  <si>
    <t xml:space="preserve">Film di supereroi</t>
  </si>
  <si>
    <t xml:space="preserve">T03</t>
  </si>
  <si>
    <t xml:space="preserve">Film da vedere prima di morire</t>
  </si>
  <si>
    <t xml:space="preserve">T04</t>
  </si>
  <si>
    <t xml:space="preserve">I film che tutti chiamano capolavori</t>
  </si>
  <si>
    <t xml:space="preserve">T05</t>
  </si>
  <si>
    <t xml:space="preserve">I finali di serie più discussi</t>
  </si>
  <si>
    <t xml:space="preserve">T06</t>
  </si>
  <si>
    <t xml:space="preserve">Serie partite bene, poi...</t>
  </si>
  <si>
    <t xml:space="preserve">T07</t>
  </si>
  <si>
    <t xml:space="preserve">Da quando diventa bella</t>
  </si>
  <si>
    <t xml:space="preserve">TikTok</t>
  </si>
  <si>
    <t xml:space="preserve">Primo uso del template v3 con zone di sicurezza TikTok. Online dal 24/07.</t>
  </si>
  <si>
    <t xml:space="preserve">Piattaforma</t>
  </si>
  <si>
    <t xml:space="preserve">Data rilevaz.</t>
  </si>
  <si>
    <t xml:space="preserve">Visualizz.</t>
  </si>
  <si>
    <t xml:space="preserve">Ritenz. 3s %</t>
  </si>
  <si>
    <t xml:space="preserve">Completam. %</t>
  </si>
  <si>
    <t xml:space="preserve">Like</t>
  </si>
  <si>
    <t xml:space="preserve">Commenti</t>
  </si>
  <si>
    <t xml:space="preserve">Condivis.</t>
  </si>
  <si>
    <t xml:space="preserve">Follow +</t>
  </si>
  <si>
    <t xml:space="preserve">Fonte FYP %</t>
  </si>
  <si>
    <t xml:space="preserve">Note</t>
  </si>
  <si>
    <t xml:space="preserve">Formato (auto)</t>
  </si>
  <si>
    <t xml:space="preserve">Tipo (auto)</t>
  </si>
  <si>
    <t xml:space="preserve">Apertura (auto)</t>
  </si>
  <si>
    <t xml:space="preserve">Stile parlato (auto)</t>
  </si>
  <si>
    <t xml:space="preserve">Instagram</t>
  </si>
  <si>
    <t xml:space="preserve">2026-07-24</t>
  </si>
  <si>
    <t xml:space="preserve">YouTube</t>
  </si>
  <si>
    <t xml:space="preserve">Rilevazione 24/07: solo visualizzazioni. Account TikTok nuovo (4 post, 2 follower).</t>
  </si>
  <si>
    <t xml:space="preserve">Riepilogo — cosa funziona di più</t>
  </si>
  <si>
    <t xml:space="preserve">Si calcola in automatico dal foglio Metriche. '—' = non ci sono ancora dati.</t>
  </si>
  <si>
    <t xml:space="preserve">Per tipo di APERTURA (solo TikTok) — l'esperimento principale</t>
  </si>
  <si>
    <t xml:space="preserve">Ritenz. 3s % media</t>
  </si>
  <si>
    <t xml:space="preserve">Completam. % medio</t>
  </si>
  <si>
    <t xml:space="preserve">Visualizz. medie</t>
  </si>
  <si>
    <t xml:space="preserve">Salvataggi medi</t>
  </si>
  <si>
    <t xml:space="preserve">N. rilevazioni</t>
  </si>
  <si>
    <t xml:space="preserve">Per STILE PARLATO (solo TikTok)</t>
  </si>
  <si>
    <t xml:space="preserve">Solo titoli (corto-secco)</t>
  </si>
  <si>
    <t xml:space="preserve">Con micro-trama (lungo)</t>
  </si>
  <si>
    <t xml:space="preserve">Per FORMATO (solo Instagram)</t>
  </si>
  <si>
    <t xml:space="preserve">Per TIPO contenuto (tutte le piattaforme)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</si>
</sst>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\-mmm"/>
    <numFmt numFmtId="166" formatCode="0.0"/>
    <numFmt numFmtId="167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1183A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1183A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2"/>
      <color rgb="FF11183A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1183A"/>
        <bgColor rgb="FF1E2A5A"/>
      </patternFill>
    </fill>
    <fill>
      <patternFill patternType="solid">
        <fgColor rgb="FFF2F4F8"/>
        <bgColor rgb="FFFFFFFF"/>
      </patternFill>
    </fill>
    <fill>
      <patternFill patternType="solid">
        <fgColor rgb="FF1E2A5A"/>
        <bgColor rgb="FF11183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E3"/>
      </left>
      <right style="thin">
        <color rgb="FFC9D2E3"/>
      </right>
      <top style="thin">
        <color rgb="FFC9D2E3"/>
      </top>
      <bottom style="thin">
        <color rgb="FFC9D2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1183A"/>
          <bgColor rgb="FF000000"/>
        </patternFill>
      </fill>
    </dxf>
    <dxf>
      <fill>
        <patternFill patternType="solid">
          <fgColor rgb="FFF2F4F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E2A5A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4F8"/>
      <rgbColor rgb="FFCCFFFF"/>
      <rgbColor rgb="FF660066"/>
      <rgbColor rgb="FFFF8080"/>
      <rgbColor rgb="FF0066CC"/>
      <rgbColor rgb="FFC9D2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E2A5A"/>
      <rgbColor rgb="FF339966"/>
      <rgbColor rgb="FF003300"/>
      <rgbColor rgb="FF333300"/>
      <rgbColor rgb="FF993300"/>
      <rgbColor rgb="FF993366"/>
      <rgbColor rgb="FF333399"/>
      <rgbColor rgb="FF1118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95"/>
  </cols>
  <sheetData>
    <row r="1" customFormat="false" ht="18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/>
      <c r="B4" s="4"/>
    </row>
    <row r="5" customFormat="false" ht="15" hidden="false" customHeight="false" outlineLevel="0" collapsed="false">
      <c r="A5" s="5" t="s">
        <v>2</v>
      </c>
      <c r="B5" s="6"/>
    </row>
    <row r="6" customFormat="false" ht="25.5" hidden="false" customHeight="true" outlineLevel="0" collapsed="false">
      <c r="A6" s="3" t="s">
        <v>3</v>
      </c>
      <c r="B6" s="4" t="s">
        <v>4</v>
      </c>
    </row>
    <row r="7" customFormat="false" ht="25.5" hidden="false" customHeight="true" outlineLevel="0" collapsed="false">
      <c r="A7" s="3" t="s">
        <v>5</v>
      </c>
      <c r="B7" s="4" t="s">
        <v>6</v>
      </c>
    </row>
    <row r="8" customFormat="false" ht="15" hidden="false" customHeight="false" outlineLevel="0" collapsed="false">
      <c r="A8" s="3" t="s">
        <v>7</v>
      </c>
      <c r="B8" s="4" t="s">
        <v>8</v>
      </c>
    </row>
    <row r="9" customFormat="false" ht="15" hidden="false" customHeight="false" outlineLevel="0" collapsed="false">
      <c r="A9" s="3"/>
      <c r="B9" s="4"/>
    </row>
    <row r="10" customFormat="false" ht="30" hidden="false" customHeight="true" outlineLevel="0" collapsed="false">
      <c r="A10" s="5" t="s">
        <v>9</v>
      </c>
      <c r="B10" s="6"/>
    </row>
    <row r="11" customFormat="false" ht="15" hidden="false" customHeight="false" outlineLevel="0" collapsed="false">
      <c r="A11" s="3" t="s">
        <v>10</v>
      </c>
      <c r="B11" s="4" t="s">
        <v>11</v>
      </c>
    </row>
    <row r="12" customFormat="false" ht="15" hidden="false" customHeight="false" outlineLevel="0" collapsed="false">
      <c r="A12" s="3" t="s">
        <v>12</v>
      </c>
      <c r="B12" s="4" t="s">
        <v>13</v>
      </c>
    </row>
    <row r="13" customFormat="false" ht="15" hidden="false" customHeight="false" outlineLevel="0" collapsed="false">
      <c r="A13" s="3" t="s">
        <v>14</v>
      </c>
      <c r="B13" s="4" t="s">
        <v>15</v>
      </c>
    </row>
    <row r="14" customFormat="false" ht="15" hidden="false" customHeight="false" outlineLevel="0" collapsed="false">
      <c r="A14" s="3" t="s">
        <v>16</v>
      </c>
      <c r="B14" s="4" t="s">
        <v>17</v>
      </c>
    </row>
    <row r="15" customFormat="false" ht="15" hidden="false" customHeight="false" outlineLevel="0" collapsed="false">
      <c r="A15" s="3" t="s">
        <v>18</v>
      </c>
      <c r="B15" s="4" t="s">
        <v>19</v>
      </c>
    </row>
    <row r="16" customFormat="false" ht="15" hidden="false" customHeight="false" outlineLevel="0" collapsed="false">
      <c r="A16" s="3"/>
      <c r="B16" s="4"/>
    </row>
    <row r="17" customFormat="false" ht="30" hidden="false" customHeight="true" outlineLevel="0" collapsed="false">
      <c r="A17" s="5" t="s">
        <v>20</v>
      </c>
      <c r="B17" s="6"/>
    </row>
    <row r="18" customFormat="false" ht="15" hidden="false" customHeight="false" outlineLevel="0" collapsed="false">
      <c r="A18" s="3" t="s">
        <v>21</v>
      </c>
      <c r="B18" s="4" t="s">
        <v>22</v>
      </c>
    </row>
    <row r="19" customFormat="false" ht="15" hidden="false" customHeight="false" outlineLevel="0" collapsed="false">
      <c r="A19" s="3" t="s">
        <v>23</v>
      </c>
      <c r="B19" s="4" t="s">
        <v>24</v>
      </c>
    </row>
    <row r="20" customFormat="false" ht="15" hidden="false" customHeight="false" outlineLevel="0" collapsed="false">
      <c r="A20" s="3" t="s">
        <v>25</v>
      </c>
      <c r="B20" s="4" t="s">
        <v>26</v>
      </c>
    </row>
    <row r="21" customFormat="false" ht="25.5" hidden="false" customHeight="true" outlineLevel="0" collapsed="false">
      <c r="A21" s="3" t="s">
        <v>27</v>
      </c>
      <c r="B21" s="4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7" activePane="bottomLeft" state="frozen"/>
      <selection pane="topLeft" activeCell="A1" activeCellId="0" sqref="A1"/>
      <selection pane="bottomLeft" activeCell="B7" activeCellId="0" sqref="B7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30"/>
    <col collapsed="false" customWidth="true" hidden="false" outlineLevel="0" max="6" min="6" style="0" width="18"/>
    <col collapsed="false" customWidth="true" hidden="false" outlineLevel="0" max="7" min="7" style="0" width="16"/>
    <col collapsed="false" customWidth="true" hidden="false" outlineLevel="0" max="8" min="8" style="0" width="26"/>
    <col collapsed="false" customWidth="true" hidden="false" outlineLevel="0" max="9" min="9" style="0" width="14"/>
    <col collapsed="false" customWidth="true" hidden="false" outlineLevel="0" max="10" min="10" style="0" width="16"/>
    <col collapsed="false" customWidth="true" hidden="false" outlineLevel="0" max="11" min="11" style="0" width="46"/>
  </cols>
  <sheetData>
    <row r="1" customFormat="false" ht="30" hidden="false" customHeight="true" outlineLevel="0" collapsed="false">
      <c r="A1" s="7" t="s">
        <v>29</v>
      </c>
      <c r="B1" s="7" t="s">
        <v>30</v>
      </c>
      <c r="C1" s="7" t="s">
        <v>10</v>
      </c>
      <c r="D1" s="7" t="s">
        <v>12</v>
      </c>
      <c r="E1" s="7" t="s">
        <v>31</v>
      </c>
      <c r="F1" s="7" t="s">
        <v>14</v>
      </c>
      <c r="G1" s="7" t="s">
        <v>16</v>
      </c>
      <c r="H1" s="7" t="s">
        <v>32</v>
      </c>
      <c r="I1" s="7" t="s">
        <v>33</v>
      </c>
      <c r="J1" s="7" t="s">
        <v>34</v>
      </c>
      <c r="K1" s="7" t="s">
        <v>35</v>
      </c>
    </row>
    <row r="2" customFormat="false" ht="25.5" hidden="false" customHeight="true" outlineLevel="0" collapsed="false">
      <c r="A2" s="8" t="s">
        <v>36</v>
      </c>
      <c r="B2" s="9" t="n">
        <v>46190</v>
      </c>
      <c r="C2" s="8" t="s">
        <v>37</v>
      </c>
      <c r="D2" s="8" t="s">
        <v>38</v>
      </c>
      <c r="E2" s="10" t="s">
        <v>39</v>
      </c>
      <c r="F2" s="8" t="s">
        <v>40</v>
      </c>
      <c r="G2" s="8" t="s">
        <v>41</v>
      </c>
      <c r="H2" s="10" t="s">
        <v>42</v>
      </c>
      <c r="I2" s="10" t="s">
        <v>43</v>
      </c>
      <c r="J2" s="10" t="s">
        <v>44</v>
      </c>
      <c r="K2" s="10" t="s">
        <v>45</v>
      </c>
    </row>
    <row r="3" customFormat="false" ht="25.5" hidden="false" customHeight="true" outlineLevel="0" collapsed="false">
      <c r="A3" s="11" t="s">
        <v>46</v>
      </c>
      <c r="B3" s="12" t="n">
        <v>46191</v>
      </c>
      <c r="C3" s="11" t="s">
        <v>37</v>
      </c>
      <c r="D3" s="11" t="s">
        <v>38</v>
      </c>
      <c r="E3" s="13" t="s">
        <v>47</v>
      </c>
      <c r="F3" s="11" t="s">
        <v>40</v>
      </c>
      <c r="G3" s="11" t="s">
        <v>41</v>
      </c>
      <c r="H3" s="13" t="s">
        <v>48</v>
      </c>
      <c r="I3" s="13" t="s">
        <v>49</v>
      </c>
      <c r="J3" s="13" t="s">
        <v>44</v>
      </c>
      <c r="K3" s="13"/>
    </row>
    <row r="4" customFormat="false" ht="25.5" hidden="false" customHeight="true" outlineLevel="0" collapsed="false">
      <c r="A4" s="8" t="s">
        <v>50</v>
      </c>
      <c r="B4" s="9" t="n">
        <v>46193</v>
      </c>
      <c r="C4" s="8" t="s">
        <v>37</v>
      </c>
      <c r="D4" s="8" t="s">
        <v>51</v>
      </c>
      <c r="E4" s="10" t="s">
        <v>52</v>
      </c>
      <c r="F4" s="8" t="s">
        <v>40</v>
      </c>
      <c r="G4" s="8" t="s">
        <v>41</v>
      </c>
      <c r="H4" s="10" t="s">
        <v>53</v>
      </c>
      <c r="I4" s="10" t="s">
        <v>54</v>
      </c>
      <c r="J4" s="10" t="s">
        <v>44</v>
      </c>
      <c r="K4" s="10" t="s">
        <v>55</v>
      </c>
    </row>
    <row r="5" customFormat="false" ht="25.5" hidden="false" customHeight="true" outlineLevel="0" collapsed="false">
      <c r="A5" s="11" t="s">
        <v>56</v>
      </c>
      <c r="B5" s="12" t="n">
        <v>46195</v>
      </c>
      <c r="C5" s="11" t="s">
        <v>37</v>
      </c>
      <c r="D5" s="11" t="s">
        <v>51</v>
      </c>
      <c r="E5" s="13" t="s">
        <v>57</v>
      </c>
      <c r="F5" s="11" t="s">
        <v>40</v>
      </c>
      <c r="G5" s="11" t="s">
        <v>58</v>
      </c>
      <c r="H5" s="13" t="s">
        <v>59</v>
      </c>
      <c r="I5" s="13" t="s">
        <v>60</v>
      </c>
      <c r="J5" s="13" t="s">
        <v>44</v>
      </c>
      <c r="K5" s="13" t="s">
        <v>61</v>
      </c>
    </row>
    <row r="6" customFormat="false" ht="25.5" hidden="false" customHeight="true" outlineLevel="0" collapsed="false">
      <c r="A6" s="8" t="s">
        <v>62</v>
      </c>
      <c r="B6" s="9" t="n">
        <v>46210</v>
      </c>
      <c r="C6" s="8" t="s">
        <v>37</v>
      </c>
      <c r="D6" s="8" t="s">
        <v>38</v>
      </c>
      <c r="E6" s="10" t="s">
        <v>63</v>
      </c>
      <c r="F6" s="8" t="s">
        <v>40</v>
      </c>
      <c r="G6" s="8" t="s">
        <v>58</v>
      </c>
      <c r="H6" s="10" t="s">
        <v>64</v>
      </c>
      <c r="I6" s="10" t="s">
        <v>49</v>
      </c>
      <c r="J6" s="10" t="s">
        <v>44</v>
      </c>
      <c r="K6" s="10" t="s">
        <v>65</v>
      </c>
    </row>
    <row r="7" customFormat="false" ht="25.5" hidden="false" customHeight="true" outlineLevel="0" collapsed="false">
      <c r="A7" s="11" t="s">
        <v>66</v>
      </c>
      <c r="B7" s="12" t="n">
        <v>46206</v>
      </c>
      <c r="C7" s="11" t="s">
        <v>37</v>
      </c>
      <c r="D7" s="11" t="s">
        <v>38</v>
      </c>
      <c r="E7" s="13" t="s">
        <v>67</v>
      </c>
      <c r="F7" s="11" t="s">
        <v>40</v>
      </c>
      <c r="G7" s="11" t="s">
        <v>58</v>
      </c>
      <c r="H7" s="13" t="s">
        <v>68</v>
      </c>
      <c r="I7" s="13" t="s">
        <v>69</v>
      </c>
      <c r="J7" s="13" t="s">
        <v>44</v>
      </c>
      <c r="K7" s="13"/>
    </row>
    <row r="8" customFormat="false" ht="25.5" hidden="false" customHeight="true" outlineLevel="0" collapsed="false">
      <c r="A8" s="8" t="s">
        <v>70</v>
      </c>
      <c r="B8" s="9" t="n">
        <v>46199</v>
      </c>
      <c r="C8" s="8" t="s">
        <v>37</v>
      </c>
      <c r="D8" s="8" t="s">
        <v>38</v>
      </c>
      <c r="E8" s="10" t="s">
        <v>71</v>
      </c>
      <c r="F8" s="8" t="s">
        <v>40</v>
      </c>
      <c r="G8" s="8" t="s">
        <v>58</v>
      </c>
      <c r="H8" s="10" t="s">
        <v>72</v>
      </c>
      <c r="I8" s="10" t="s">
        <v>73</v>
      </c>
      <c r="J8" s="10" t="s">
        <v>44</v>
      </c>
      <c r="K8" s="10"/>
    </row>
    <row r="9" customFormat="false" ht="25.5" hidden="false" customHeight="true" outlineLevel="0" collapsed="false">
      <c r="A9" s="11" t="s">
        <v>74</v>
      </c>
      <c r="B9" s="12" t="n">
        <v>46204</v>
      </c>
      <c r="C9" s="11" t="s">
        <v>37</v>
      </c>
      <c r="D9" s="11" t="s">
        <v>51</v>
      </c>
      <c r="E9" s="13" t="s">
        <v>75</v>
      </c>
      <c r="F9" s="11" t="s">
        <v>40</v>
      </c>
      <c r="G9" s="11" t="s">
        <v>58</v>
      </c>
      <c r="H9" s="13" t="s">
        <v>76</v>
      </c>
      <c r="I9" s="13" t="s">
        <v>77</v>
      </c>
      <c r="J9" s="13" t="s">
        <v>44</v>
      </c>
      <c r="K9" s="13"/>
    </row>
    <row r="10" customFormat="false" ht="25.5" hidden="false" customHeight="true" outlineLevel="0" collapsed="false">
      <c r="A10" s="8" t="s">
        <v>78</v>
      </c>
      <c r="B10" s="9" t="n">
        <v>46202</v>
      </c>
      <c r="C10" s="8" t="s">
        <v>37</v>
      </c>
      <c r="D10" s="8" t="s">
        <v>38</v>
      </c>
      <c r="E10" s="10" t="s">
        <v>79</v>
      </c>
      <c r="F10" s="8" t="s">
        <v>80</v>
      </c>
      <c r="G10" s="8" t="s">
        <v>58</v>
      </c>
      <c r="H10" s="10" t="s">
        <v>81</v>
      </c>
      <c r="I10" s="10" t="s">
        <v>49</v>
      </c>
      <c r="J10" s="10" t="s">
        <v>44</v>
      </c>
      <c r="K10" s="10" t="s">
        <v>82</v>
      </c>
    </row>
    <row r="11" customFormat="false" ht="25.5" hidden="false" customHeight="true" outlineLevel="0" collapsed="false">
      <c r="A11" s="11" t="s">
        <v>83</v>
      </c>
      <c r="B11" s="12" t="n">
        <v>46197</v>
      </c>
      <c r="C11" s="11" t="s">
        <v>37</v>
      </c>
      <c r="D11" s="11" t="s">
        <v>51</v>
      </c>
      <c r="E11" s="13" t="s">
        <v>84</v>
      </c>
      <c r="F11" s="11" t="s">
        <v>80</v>
      </c>
      <c r="G11" s="11" t="s">
        <v>58</v>
      </c>
      <c r="H11" s="13" t="s">
        <v>85</v>
      </c>
      <c r="I11" s="13" t="s">
        <v>49</v>
      </c>
      <c r="J11" s="13" t="s">
        <v>44</v>
      </c>
      <c r="K11" s="13" t="s">
        <v>86</v>
      </c>
    </row>
    <row r="12" customFormat="false" ht="25.5" hidden="false" customHeight="true" outlineLevel="0" collapsed="false">
      <c r="A12" s="8" t="s">
        <v>87</v>
      </c>
      <c r="B12" s="9" t="n">
        <v>46207</v>
      </c>
      <c r="C12" s="8" t="s">
        <v>88</v>
      </c>
      <c r="D12" s="8" t="s">
        <v>51</v>
      </c>
      <c r="E12" s="10" t="s">
        <v>89</v>
      </c>
      <c r="F12" s="8" t="s">
        <v>90</v>
      </c>
      <c r="G12" s="8" t="s">
        <v>91</v>
      </c>
      <c r="H12" s="10" t="s">
        <v>92</v>
      </c>
      <c r="I12" s="10" t="s">
        <v>93</v>
      </c>
      <c r="J12" s="10" t="s">
        <v>94</v>
      </c>
      <c r="K12" s="10" t="s">
        <v>95</v>
      </c>
    </row>
    <row r="13" customFormat="false" ht="15" hidden="false" customHeight="false" outlineLevel="0" collapsed="false">
      <c r="A13" s="11" t="s">
        <v>96</v>
      </c>
      <c r="B13" s="12" t="n">
        <v>46203</v>
      </c>
      <c r="C13" s="11" t="s">
        <v>88</v>
      </c>
      <c r="D13" s="11" t="s">
        <v>38</v>
      </c>
      <c r="E13" s="13" t="s">
        <v>97</v>
      </c>
      <c r="F13" s="11" t="s">
        <v>90</v>
      </c>
      <c r="G13" s="11" t="s">
        <v>91</v>
      </c>
      <c r="H13" s="13" t="s">
        <v>98</v>
      </c>
      <c r="I13" s="13" t="s">
        <v>93</v>
      </c>
      <c r="J13" s="13" t="s">
        <v>94</v>
      </c>
      <c r="K13" s="13"/>
    </row>
    <row r="14" customFormat="false" ht="15" hidden="false" customHeight="false" outlineLevel="0" collapsed="false">
      <c r="A14" s="8" t="s">
        <v>99</v>
      </c>
      <c r="B14" s="9" t="n">
        <v>46200</v>
      </c>
      <c r="C14" s="8" t="s">
        <v>88</v>
      </c>
      <c r="D14" s="8" t="s">
        <v>38</v>
      </c>
      <c r="E14" s="10" t="s">
        <v>100</v>
      </c>
      <c r="F14" s="8" t="s">
        <v>90</v>
      </c>
      <c r="G14" s="8" t="s">
        <v>91</v>
      </c>
      <c r="H14" s="10" t="s">
        <v>101</v>
      </c>
      <c r="I14" s="10" t="s">
        <v>93</v>
      </c>
      <c r="J14" s="10" t="s">
        <v>94</v>
      </c>
      <c r="K14" s="10"/>
    </row>
    <row r="15" customFormat="false" ht="15" hidden="false" customHeight="false" outlineLevel="0" collapsed="false">
      <c r="A15" s="11" t="s">
        <v>102</v>
      </c>
      <c r="B15" s="12" t="n">
        <v>46205</v>
      </c>
      <c r="C15" s="11" t="s">
        <v>88</v>
      </c>
      <c r="D15" s="11" t="s">
        <v>38</v>
      </c>
      <c r="E15" s="13" t="s">
        <v>103</v>
      </c>
      <c r="F15" s="11" t="s">
        <v>90</v>
      </c>
      <c r="G15" s="11" t="s">
        <v>91</v>
      </c>
      <c r="H15" s="13" t="s">
        <v>104</v>
      </c>
      <c r="I15" s="13" t="s">
        <v>93</v>
      </c>
      <c r="J15" s="13" t="s">
        <v>94</v>
      </c>
      <c r="K15" s="13"/>
    </row>
    <row r="16" customFormat="false" ht="15" hidden="false" customHeight="false" outlineLevel="0" collapsed="false">
      <c r="A16" s="8" t="s">
        <v>105</v>
      </c>
      <c r="B16" s="9" t="n">
        <v>46198</v>
      </c>
      <c r="C16" s="8" t="s">
        <v>88</v>
      </c>
      <c r="D16" s="8" t="s">
        <v>51</v>
      </c>
      <c r="E16" s="10" t="s">
        <v>106</v>
      </c>
      <c r="F16" s="8" t="s">
        <v>90</v>
      </c>
      <c r="G16" s="8" t="s">
        <v>91</v>
      </c>
      <c r="H16" s="10" t="s">
        <v>107</v>
      </c>
      <c r="I16" s="10" t="s">
        <v>93</v>
      </c>
      <c r="J16" s="10" t="s">
        <v>94</v>
      </c>
      <c r="K16" s="10"/>
    </row>
    <row r="17" customFormat="false" ht="15" hidden="false" customHeight="false" outlineLevel="0" collapsed="false">
      <c r="A17" s="8" t="s">
        <v>108</v>
      </c>
      <c r="B17" s="9"/>
      <c r="C17" s="8" t="s">
        <v>37</v>
      </c>
      <c r="D17" s="8" t="s">
        <v>38</v>
      </c>
      <c r="E17" s="10" t="s">
        <v>109</v>
      </c>
      <c r="F17" s="8" t="s">
        <v>40</v>
      </c>
      <c r="G17" s="8" t="s">
        <v>58</v>
      </c>
      <c r="H17" s="10" t="s">
        <v>110</v>
      </c>
      <c r="I17" s="10" t="s">
        <v>111</v>
      </c>
      <c r="J17" s="10" t="s">
        <v>112</v>
      </c>
      <c r="K17" s="10" t="s">
        <v>113</v>
      </c>
    </row>
    <row r="18" customFormat="false" ht="15" hidden="false" customHeight="false" outlineLevel="0" collapsed="false">
      <c r="A18" s="8" t="s">
        <v>114</v>
      </c>
      <c r="B18" s="9"/>
      <c r="C18" s="8" t="s">
        <v>88</v>
      </c>
      <c r="D18" s="8" t="s">
        <v>38</v>
      </c>
      <c r="E18" s="10" t="s">
        <v>115</v>
      </c>
      <c r="F18" s="8" t="s">
        <v>90</v>
      </c>
      <c r="G18" s="8" t="s">
        <v>91</v>
      </c>
      <c r="H18" s="10"/>
      <c r="I18" s="10" t="s">
        <v>93</v>
      </c>
      <c r="J18" s="10" t="s">
        <v>94</v>
      </c>
      <c r="K18" s="10"/>
    </row>
    <row r="19" customFormat="false" ht="15" hidden="false" customHeight="false" outlineLevel="0" collapsed="false">
      <c r="A19" s="8" t="s">
        <v>116</v>
      </c>
      <c r="B19" s="9"/>
      <c r="C19" s="8" t="s">
        <v>117</v>
      </c>
      <c r="D19" s="8" t="s">
        <v>51</v>
      </c>
      <c r="E19" s="10" t="s">
        <v>118</v>
      </c>
      <c r="F19" s="8" t="s">
        <v>90</v>
      </c>
      <c r="G19" s="8" t="s">
        <v>91</v>
      </c>
      <c r="H19" s="10"/>
      <c r="I19" s="10" t="s">
        <v>93</v>
      </c>
      <c r="J19" s="10" t="s">
        <v>112</v>
      </c>
      <c r="K19" s="10" t="s">
        <v>119</v>
      </c>
    </row>
    <row r="20" customFormat="false" ht="15" hidden="false" customHeight="false" outlineLevel="0" collapsed="false">
      <c r="A20" s="8" t="s">
        <v>120</v>
      </c>
      <c r="B20" s="9"/>
      <c r="C20" s="8" t="s">
        <v>117</v>
      </c>
      <c r="D20" s="8" t="s">
        <v>38</v>
      </c>
      <c r="E20" s="10" t="s">
        <v>121</v>
      </c>
      <c r="F20" s="8" t="s">
        <v>90</v>
      </c>
      <c r="G20" s="8" t="s">
        <v>91</v>
      </c>
      <c r="H20" s="10"/>
      <c r="I20" s="10" t="s">
        <v>93</v>
      </c>
      <c r="J20" s="10" t="s">
        <v>112</v>
      </c>
      <c r="K20" s="10"/>
    </row>
    <row r="21" customFormat="false" ht="15" hidden="false" customHeight="false" outlineLevel="0" collapsed="false">
      <c r="A21" s="8" t="s">
        <v>122</v>
      </c>
      <c r="B21" s="9"/>
      <c r="C21" s="8" t="s">
        <v>117</v>
      </c>
      <c r="D21" s="8" t="s">
        <v>38</v>
      </c>
      <c r="E21" s="10" t="s">
        <v>123</v>
      </c>
      <c r="F21" s="8" t="s">
        <v>90</v>
      </c>
      <c r="G21" s="8" t="s">
        <v>91</v>
      </c>
      <c r="H21" s="10"/>
      <c r="I21" s="10" t="s">
        <v>93</v>
      </c>
      <c r="J21" s="10" t="s">
        <v>112</v>
      </c>
      <c r="K21" s="10"/>
    </row>
    <row r="22" customFormat="false" ht="15" hidden="false" customHeight="false" outlineLevel="0" collapsed="false">
      <c r="A22" s="8" t="s">
        <v>124</v>
      </c>
      <c r="B22" s="9"/>
      <c r="C22" s="8" t="s">
        <v>117</v>
      </c>
      <c r="D22" s="8" t="s">
        <v>38</v>
      </c>
      <c r="E22" s="10" t="s">
        <v>125</v>
      </c>
      <c r="F22" s="8" t="s">
        <v>90</v>
      </c>
      <c r="G22" s="8" t="s">
        <v>91</v>
      </c>
      <c r="H22" s="10"/>
      <c r="I22" s="10" t="s">
        <v>93</v>
      </c>
      <c r="J22" s="10" t="s">
        <v>112</v>
      </c>
      <c r="K22" s="10"/>
    </row>
    <row r="23" customFormat="false" ht="15" hidden="false" customHeight="false" outlineLevel="0" collapsed="false">
      <c r="A23" s="8" t="s">
        <v>126</v>
      </c>
      <c r="B23" s="9"/>
      <c r="C23" s="8" t="s">
        <v>117</v>
      </c>
      <c r="D23" s="8" t="s">
        <v>51</v>
      </c>
      <c r="E23" s="10" t="s">
        <v>127</v>
      </c>
      <c r="F23" s="8" t="s">
        <v>90</v>
      </c>
      <c r="G23" s="8" t="s">
        <v>91</v>
      </c>
      <c r="H23" s="10"/>
      <c r="I23" s="10" t="s">
        <v>93</v>
      </c>
      <c r="J23" s="10" t="s">
        <v>112</v>
      </c>
      <c r="K23" s="10"/>
    </row>
    <row r="24" customFormat="false" ht="15" hidden="false" customHeight="false" outlineLevel="0" collapsed="false">
      <c r="A24" s="8" t="s">
        <v>128</v>
      </c>
      <c r="B24" s="9"/>
      <c r="C24" s="8" t="s">
        <v>117</v>
      </c>
      <c r="D24" s="8" t="s">
        <v>51</v>
      </c>
      <c r="E24" s="10" t="s">
        <v>129</v>
      </c>
      <c r="F24" s="8" t="s">
        <v>90</v>
      </c>
      <c r="G24" s="8" t="s">
        <v>91</v>
      </c>
      <c r="H24" s="10"/>
      <c r="I24" s="10" t="s">
        <v>93</v>
      </c>
      <c r="J24" s="10" t="s">
        <v>112</v>
      </c>
      <c r="K24" s="10"/>
    </row>
    <row r="25" customFormat="false" ht="23.85" hidden="false" customHeight="false" outlineLevel="0" collapsed="false">
      <c r="A25" s="8" t="s">
        <v>130</v>
      </c>
      <c r="B25" s="9"/>
      <c r="C25" s="8" t="s">
        <v>117</v>
      </c>
      <c r="D25" s="8" t="s">
        <v>51</v>
      </c>
      <c r="E25" s="10" t="s">
        <v>131</v>
      </c>
      <c r="F25" s="8" t="s">
        <v>90</v>
      </c>
      <c r="G25" s="8" t="s">
        <v>91</v>
      </c>
      <c r="H25" s="10"/>
      <c r="I25" s="10" t="s">
        <v>93</v>
      </c>
      <c r="J25" s="10" t="s">
        <v>132</v>
      </c>
      <c r="K25" s="10" t="s">
        <v>133</v>
      </c>
    </row>
  </sheetData>
  <autoFilter ref="A1:K16"/>
  <dataValidations count="4">
    <dataValidation allowBlank="true" errorStyle="stop" operator="between" showDropDown="false" showErrorMessage="false" showInputMessage="false" sqref="D2:D200" type="list">
      <formula1>"Film,Serie"</formula1>
      <formula2>0</formula2>
    </dataValidation>
    <dataValidation allowBlank="true" errorStyle="stop" operator="between" showDropDown="false" showErrorMessage="false" showInputMessage="false" sqref="F2:F200" type="list">
      <formula1>"Classica,Domanda 2 tempi,Cover"</formula1>
      <formula2>0</formula2>
    </dataValidation>
    <dataValidation allowBlank="true" errorStyle="stop" operator="between" showDropDown="false" showErrorMessage="false" showInputMessage="false" sqref="G2:G200" type="list">
      <formula1>"Solo titoli,Con micro-trama,—"</formula1>
      <formula2>0</formula2>
    </dataValidation>
    <dataValidation allowBlank="true" errorStyle="stop" operator="between" showDropDown="false" showErrorMessage="false" showInputMessage="false" sqref="C2:C200" type="list">
      <formula1>"Reel/Short,Carosello,Tier list"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13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9"/>
    <col collapsed="false" customWidth="true" hidden="false" outlineLevel="0" max="9" min="8" style="0" width="10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2"/>
    <col collapsed="false" customWidth="true" hidden="false" outlineLevel="0" max="13" min="13" style="0" width="30"/>
    <col collapsed="false" customWidth="true" hidden="false" outlineLevel="0" max="14" min="14" style="0" width="15"/>
    <col collapsed="false" customWidth="true" hidden="false" outlineLevel="0" max="15" min="15" style="0" width="12"/>
    <col collapsed="false" customWidth="true" hidden="false" outlineLevel="0" max="16" min="16" style="0" width="17"/>
    <col collapsed="false" customWidth="true" hidden="false" outlineLevel="0" max="17" min="17" style="0" width="18"/>
  </cols>
  <sheetData>
    <row r="1" customFormat="false" ht="30" hidden="false" customHeight="true" outlineLevel="0" collapsed="false">
      <c r="A1" s="7" t="s">
        <v>29</v>
      </c>
      <c r="B1" s="7" t="s">
        <v>134</v>
      </c>
      <c r="C1" s="7" t="s">
        <v>135</v>
      </c>
      <c r="D1" s="7" t="s">
        <v>136</v>
      </c>
      <c r="E1" s="7" t="s">
        <v>137</v>
      </c>
      <c r="F1" s="7" t="s">
        <v>138</v>
      </c>
      <c r="G1" s="7" t="s">
        <v>139</v>
      </c>
      <c r="H1" s="7" t="s">
        <v>140</v>
      </c>
      <c r="I1" s="7" t="s">
        <v>141</v>
      </c>
      <c r="J1" s="7" t="s">
        <v>25</v>
      </c>
      <c r="K1" s="7" t="s">
        <v>142</v>
      </c>
      <c r="L1" s="7" t="s">
        <v>143</v>
      </c>
      <c r="M1" s="7" t="s">
        <v>144</v>
      </c>
      <c r="N1" s="14" t="s">
        <v>145</v>
      </c>
      <c r="O1" s="14" t="s">
        <v>146</v>
      </c>
      <c r="P1" s="14" t="s">
        <v>147</v>
      </c>
      <c r="Q1" s="14" t="s">
        <v>148</v>
      </c>
    </row>
    <row r="2" customFormat="false" ht="15" hidden="false" customHeight="false" outlineLevel="0" collapsed="false">
      <c r="A2" s="8" t="s">
        <v>116</v>
      </c>
      <c r="B2" s="8" t="s">
        <v>149</v>
      </c>
      <c r="C2" s="8" t="s">
        <v>150</v>
      </c>
      <c r="D2" s="8" t="n">
        <v>62500</v>
      </c>
      <c r="E2" s="15"/>
      <c r="F2" s="15"/>
      <c r="G2" s="8"/>
      <c r="H2" s="8"/>
      <c r="I2" s="8"/>
      <c r="J2" s="8"/>
      <c r="K2" s="8"/>
      <c r="L2" s="15"/>
      <c r="M2" s="10"/>
      <c r="N2" s="11" t="str">
        <f aca="false">IF($A2="","",IFERROR(VLOOKUP($A2,Contenuti!$A:$K,3,FALSE()),""))</f>
        <v>Tier list</v>
      </c>
      <c r="O2" s="11" t="str">
        <f aca="false">IF($A2="","",IFERROR(VLOOKUP($A2,Contenuti!$A:$K,4,FALSE()),""))</f>
        <v>Serie</v>
      </c>
      <c r="P2" s="11" t="str">
        <f aca="false">IF($A2="","",IFERROR(VLOOKUP($A2,Contenuti!$A:$K,6,FALSE()),""))</f>
        <v>Cover</v>
      </c>
      <c r="Q2" s="11" t="str">
        <f aca="false">IF($A2="","",IFERROR(VLOOKUP($A2,Contenuti!$A:$K,7,FALSE()),""))</f>
        <v>—</v>
      </c>
    </row>
    <row r="3" customFormat="false" ht="15" hidden="false" customHeight="false" outlineLevel="0" collapsed="false">
      <c r="A3" s="11" t="s">
        <v>120</v>
      </c>
      <c r="B3" s="11" t="s">
        <v>149</v>
      </c>
      <c r="C3" s="11" t="s">
        <v>150</v>
      </c>
      <c r="D3" s="11" t="n">
        <v>18400</v>
      </c>
      <c r="E3" s="16"/>
      <c r="F3" s="16"/>
      <c r="G3" s="11"/>
      <c r="H3" s="11"/>
      <c r="I3" s="11"/>
      <c r="J3" s="11"/>
      <c r="K3" s="11"/>
      <c r="L3" s="16"/>
      <c r="M3" s="13"/>
      <c r="N3" s="11" t="str">
        <f aca="false">IF($A3="","",IFERROR(VLOOKUP($A3,Contenuti!$A:$K,3,FALSE()),""))</f>
        <v>Tier list</v>
      </c>
      <c r="O3" s="11" t="str">
        <f aca="false">IF($A3="","",IFERROR(VLOOKUP($A3,Contenuti!$A:$K,4,FALSE()),""))</f>
        <v>Film</v>
      </c>
      <c r="P3" s="11" t="str">
        <f aca="false">IF($A3="","",IFERROR(VLOOKUP($A3,Contenuti!$A:$K,6,FALSE()),""))</f>
        <v>Cover</v>
      </c>
      <c r="Q3" s="11" t="str">
        <f aca="false">IF($A3="","",IFERROR(VLOOKUP($A3,Contenuti!$A:$K,7,FALSE()),""))</f>
        <v>—</v>
      </c>
    </row>
    <row r="4" customFormat="false" ht="15" hidden="false" customHeight="false" outlineLevel="0" collapsed="false">
      <c r="A4" s="8" t="s">
        <v>122</v>
      </c>
      <c r="B4" s="8" t="s">
        <v>149</v>
      </c>
      <c r="C4" s="8" t="s">
        <v>150</v>
      </c>
      <c r="D4" s="8" t="n">
        <v>10700</v>
      </c>
      <c r="E4" s="15"/>
      <c r="F4" s="15"/>
      <c r="G4" s="8"/>
      <c r="H4" s="8"/>
      <c r="I4" s="8"/>
      <c r="J4" s="8"/>
      <c r="K4" s="8"/>
      <c r="L4" s="15"/>
      <c r="M4" s="10"/>
      <c r="N4" s="11" t="str">
        <f aca="false">IF($A4="","",IFERROR(VLOOKUP($A4,Contenuti!$A:$K,3,FALSE()),""))</f>
        <v>Tier list</v>
      </c>
      <c r="O4" s="11" t="str">
        <f aca="false">IF($A4="","",IFERROR(VLOOKUP($A4,Contenuti!$A:$K,4,FALSE()),""))</f>
        <v>Film</v>
      </c>
      <c r="P4" s="11" t="str">
        <f aca="false">IF($A4="","",IFERROR(VLOOKUP($A4,Contenuti!$A:$K,6,FALSE()),""))</f>
        <v>Cover</v>
      </c>
      <c r="Q4" s="11" t="str">
        <f aca="false">IF($A4="","",IFERROR(VLOOKUP($A4,Contenuti!$A:$K,7,FALSE()),""))</f>
        <v>—</v>
      </c>
    </row>
    <row r="5" customFormat="false" ht="15" hidden="false" customHeight="false" outlineLevel="0" collapsed="false">
      <c r="A5" s="11" t="s">
        <v>124</v>
      </c>
      <c r="B5" s="11" t="s">
        <v>149</v>
      </c>
      <c r="C5" s="11" t="s">
        <v>150</v>
      </c>
      <c r="D5" s="11" t="n">
        <v>1788</v>
      </c>
      <c r="E5" s="16"/>
      <c r="F5" s="16"/>
      <c r="G5" s="11"/>
      <c r="H5" s="11"/>
      <c r="I5" s="11"/>
      <c r="J5" s="11"/>
      <c r="K5" s="11"/>
      <c r="L5" s="16"/>
      <c r="M5" s="13"/>
      <c r="N5" s="11" t="str">
        <f aca="false">IF($A5="","",IFERROR(VLOOKUP($A5,Contenuti!$A:$K,3,FALSE()),""))</f>
        <v>Tier list</v>
      </c>
      <c r="O5" s="11" t="str">
        <f aca="false">IF($A5="","",IFERROR(VLOOKUP($A5,Contenuti!$A:$K,4,FALSE()),""))</f>
        <v>Film</v>
      </c>
      <c r="P5" s="11" t="str">
        <f aca="false">IF($A5="","",IFERROR(VLOOKUP($A5,Contenuti!$A:$K,6,FALSE()),""))</f>
        <v>Cover</v>
      </c>
      <c r="Q5" s="11" t="str">
        <f aca="false">IF($A5="","",IFERROR(VLOOKUP($A5,Contenuti!$A:$K,7,FALSE()),""))</f>
        <v>—</v>
      </c>
    </row>
    <row r="6" customFormat="false" ht="15" hidden="false" customHeight="false" outlineLevel="0" collapsed="false">
      <c r="A6" s="8" t="s">
        <v>126</v>
      </c>
      <c r="B6" s="8" t="s">
        <v>149</v>
      </c>
      <c r="C6" s="8" t="s">
        <v>150</v>
      </c>
      <c r="D6" s="8" t="n">
        <v>1503</v>
      </c>
      <c r="E6" s="15"/>
      <c r="F6" s="15"/>
      <c r="G6" s="8"/>
      <c r="H6" s="8"/>
      <c r="I6" s="8"/>
      <c r="J6" s="8"/>
      <c r="K6" s="8"/>
      <c r="L6" s="15"/>
      <c r="M6" s="10"/>
      <c r="N6" s="11" t="str">
        <f aca="false">IF($A6="","",IFERROR(VLOOKUP($A6,Contenuti!$A:$K,3,FALSE()),""))</f>
        <v>Tier list</v>
      </c>
      <c r="O6" s="11" t="str">
        <f aca="false">IF($A6="","",IFERROR(VLOOKUP($A6,Contenuti!$A:$K,4,FALSE()),""))</f>
        <v>Serie</v>
      </c>
      <c r="P6" s="11" t="str">
        <f aca="false">IF($A6="","",IFERROR(VLOOKUP($A6,Contenuti!$A:$K,6,FALSE()),""))</f>
        <v>Cover</v>
      </c>
      <c r="Q6" s="11" t="str">
        <f aca="false">IF($A6="","",IFERROR(VLOOKUP($A6,Contenuti!$A:$K,7,FALSE()),""))</f>
        <v>—</v>
      </c>
    </row>
    <row r="7" customFormat="false" ht="15" hidden="false" customHeight="false" outlineLevel="0" collapsed="false">
      <c r="A7" s="11" t="s">
        <v>128</v>
      </c>
      <c r="B7" s="11" t="s">
        <v>149</v>
      </c>
      <c r="C7" s="11" t="s">
        <v>150</v>
      </c>
      <c r="D7" s="11" t="n">
        <v>440</v>
      </c>
      <c r="E7" s="16"/>
      <c r="F7" s="16"/>
      <c r="G7" s="11"/>
      <c r="H7" s="11"/>
      <c r="I7" s="11"/>
      <c r="J7" s="11"/>
      <c r="K7" s="11"/>
      <c r="L7" s="16"/>
      <c r="M7" s="13"/>
      <c r="N7" s="11" t="str">
        <f aca="false">IF($A7="","",IFERROR(VLOOKUP($A7,Contenuti!$A:$K,3,FALSE()),""))</f>
        <v>Tier list</v>
      </c>
      <c r="O7" s="11" t="str">
        <f aca="false">IF($A7="","",IFERROR(VLOOKUP($A7,Contenuti!$A:$K,4,FALSE()),""))</f>
        <v>Serie</v>
      </c>
      <c r="P7" s="11" t="str">
        <f aca="false">IF($A7="","",IFERROR(VLOOKUP($A7,Contenuti!$A:$K,6,FALSE()),""))</f>
        <v>Cover</v>
      </c>
      <c r="Q7" s="11" t="str">
        <f aca="false">IF($A7="","",IFERROR(VLOOKUP($A7,Contenuti!$A:$K,7,FALSE()),""))</f>
        <v>—</v>
      </c>
    </row>
    <row r="8" customFormat="false" ht="15" hidden="false" customHeight="false" outlineLevel="0" collapsed="false">
      <c r="A8" s="8" t="s">
        <v>36</v>
      </c>
      <c r="B8" s="8" t="s">
        <v>149</v>
      </c>
      <c r="C8" s="8" t="s">
        <v>150</v>
      </c>
      <c r="D8" s="8" t="n">
        <v>850</v>
      </c>
      <c r="E8" s="15"/>
      <c r="F8" s="15"/>
      <c r="G8" s="8"/>
      <c r="H8" s="8"/>
      <c r="I8" s="8"/>
      <c r="J8" s="8"/>
      <c r="K8" s="8"/>
      <c r="L8" s="15"/>
      <c r="M8" s="10"/>
      <c r="N8" s="11" t="str">
        <f aca="false">IF($A8="","",IFERROR(VLOOKUP($A8,Contenuti!$A:$K,3,FALSE()),""))</f>
        <v>Reel/Short</v>
      </c>
      <c r="O8" s="11" t="str">
        <f aca="false">IF($A8="","",IFERROR(VLOOKUP($A8,Contenuti!$A:$K,4,FALSE()),""))</f>
        <v>Film</v>
      </c>
      <c r="P8" s="11" t="str">
        <f aca="false">IF($A8="","",IFERROR(VLOOKUP($A8,Contenuti!$A:$K,6,FALSE()),""))</f>
        <v>Classica</v>
      </c>
      <c r="Q8" s="11" t="str">
        <f aca="false">IF($A8="","",IFERROR(VLOOKUP($A8,Contenuti!$A:$K,7,FALSE()),""))</f>
        <v>Solo titoli</v>
      </c>
    </row>
    <row r="9" customFormat="false" ht="15" hidden="false" customHeight="false" outlineLevel="0" collapsed="false">
      <c r="A9" s="11" t="s">
        <v>83</v>
      </c>
      <c r="B9" s="11" t="s">
        <v>149</v>
      </c>
      <c r="C9" s="11" t="s">
        <v>150</v>
      </c>
      <c r="D9" s="11" t="n">
        <v>824</v>
      </c>
      <c r="E9" s="16"/>
      <c r="F9" s="16"/>
      <c r="G9" s="11"/>
      <c r="H9" s="11"/>
      <c r="I9" s="11"/>
      <c r="J9" s="11"/>
      <c r="K9" s="11"/>
      <c r="L9" s="16"/>
      <c r="M9" s="13"/>
      <c r="N9" s="11" t="str">
        <f aca="false">IF($A9="","",IFERROR(VLOOKUP($A9,Contenuti!$A:$K,3,FALSE()),""))</f>
        <v>Reel/Short</v>
      </c>
      <c r="O9" s="11" t="str">
        <f aca="false">IF($A9="","",IFERROR(VLOOKUP($A9,Contenuti!$A:$K,4,FALSE()),""))</f>
        <v>Serie</v>
      </c>
      <c r="P9" s="11" t="str">
        <f aca="false">IF($A9="","",IFERROR(VLOOKUP($A9,Contenuti!$A:$K,6,FALSE()),""))</f>
        <v>Domanda 2 tempi</v>
      </c>
      <c r="Q9" s="11" t="str">
        <f aca="false">IF($A9="","",IFERROR(VLOOKUP($A9,Contenuti!$A:$K,7,FALSE()),""))</f>
        <v>Con micro-trama</v>
      </c>
    </row>
    <row r="10" customFormat="false" ht="15" hidden="false" customHeight="false" outlineLevel="0" collapsed="false">
      <c r="A10" s="8" t="s">
        <v>108</v>
      </c>
      <c r="B10" s="8" t="s">
        <v>149</v>
      </c>
      <c r="C10" s="8" t="s">
        <v>150</v>
      </c>
      <c r="D10" s="8" t="n">
        <v>91</v>
      </c>
      <c r="E10" s="15"/>
      <c r="F10" s="15"/>
      <c r="G10" s="8"/>
      <c r="H10" s="8"/>
      <c r="I10" s="8"/>
      <c r="J10" s="8"/>
      <c r="K10" s="8"/>
      <c r="L10" s="15"/>
      <c r="M10" s="10"/>
      <c r="N10" s="11" t="str">
        <f aca="false">IF($A10="","",IFERROR(VLOOKUP($A10,Contenuti!$A:$K,3,FALSE()),""))</f>
        <v>Reel/Short</v>
      </c>
      <c r="O10" s="11" t="str">
        <f aca="false">IF($A10="","",IFERROR(VLOOKUP($A10,Contenuti!$A:$K,4,FALSE()),""))</f>
        <v>Film</v>
      </c>
      <c r="P10" s="11" t="str">
        <f aca="false">IF($A10="","",IFERROR(VLOOKUP($A10,Contenuti!$A:$K,6,FALSE()),""))</f>
        <v>Classica</v>
      </c>
      <c r="Q10" s="11" t="str">
        <f aca="false">IF($A10="","",IFERROR(VLOOKUP($A10,Contenuti!$A:$K,7,FALSE()),""))</f>
        <v>Con micro-trama</v>
      </c>
    </row>
    <row r="11" customFormat="false" ht="15" hidden="false" customHeight="false" outlineLevel="0" collapsed="false">
      <c r="A11" s="11" t="s">
        <v>114</v>
      </c>
      <c r="B11" s="11" t="s">
        <v>149</v>
      </c>
      <c r="C11" s="11" t="s">
        <v>150</v>
      </c>
      <c r="D11" s="11" t="n">
        <v>210</v>
      </c>
      <c r="E11" s="16"/>
      <c r="F11" s="16"/>
      <c r="G11" s="11"/>
      <c r="H11" s="11"/>
      <c r="I11" s="11"/>
      <c r="J11" s="11"/>
      <c r="K11" s="11"/>
      <c r="L11" s="16"/>
      <c r="M11" s="13"/>
      <c r="N11" s="11" t="str">
        <f aca="false">IF($A11="","",IFERROR(VLOOKUP($A11,Contenuti!$A:$K,3,FALSE()),""))</f>
        <v>Carosello</v>
      </c>
      <c r="O11" s="11" t="str">
        <f aca="false">IF($A11="","",IFERROR(VLOOKUP($A11,Contenuti!$A:$K,4,FALSE()),""))</f>
        <v>Film</v>
      </c>
      <c r="P11" s="11" t="str">
        <f aca="false">IF($A11="","",IFERROR(VLOOKUP($A11,Contenuti!$A:$K,6,FALSE()),""))</f>
        <v>Cover</v>
      </c>
      <c r="Q11" s="11" t="str">
        <f aca="false">IF($A11="","",IFERROR(VLOOKUP($A11,Contenuti!$A:$K,7,FALSE()),""))</f>
        <v>—</v>
      </c>
    </row>
    <row r="12" customFormat="false" ht="15" hidden="false" customHeight="false" outlineLevel="0" collapsed="false">
      <c r="A12" s="8" t="s">
        <v>128</v>
      </c>
      <c r="B12" s="8" t="s">
        <v>151</v>
      </c>
      <c r="C12" s="8" t="s">
        <v>150</v>
      </c>
      <c r="D12" s="8" t="n">
        <v>2500</v>
      </c>
      <c r="E12" s="15"/>
      <c r="F12" s="15"/>
      <c r="G12" s="8"/>
      <c r="H12" s="8"/>
      <c r="I12" s="8"/>
      <c r="J12" s="8"/>
      <c r="K12" s="8"/>
      <c r="L12" s="15"/>
      <c r="M12" s="10"/>
      <c r="N12" s="11" t="str">
        <f aca="false">IF($A12="","",IFERROR(VLOOKUP($A12,Contenuti!$A:$K,3,FALSE()),""))</f>
        <v>Tier list</v>
      </c>
      <c r="O12" s="11" t="str">
        <f aca="false">IF($A12="","",IFERROR(VLOOKUP($A12,Contenuti!$A:$K,4,FALSE()),""))</f>
        <v>Serie</v>
      </c>
      <c r="P12" s="11" t="str">
        <f aca="false">IF($A12="","",IFERROR(VLOOKUP($A12,Contenuti!$A:$K,6,FALSE()),""))</f>
        <v>Cover</v>
      </c>
      <c r="Q12" s="11" t="str">
        <f aca="false">IF($A12="","",IFERROR(VLOOKUP($A12,Contenuti!$A:$K,7,FALSE()),""))</f>
        <v>—</v>
      </c>
    </row>
    <row r="13" customFormat="false" ht="15" hidden="false" customHeight="false" outlineLevel="0" collapsed="false">
      <c r="A13" s="11" t="s">
        <v>122</v>
      </c>
      <c r="B13" s="11" t="s">
        <v>151</v>
      </c>
      <c r="C13" s="11" t="s">
        <v>150</v>
      </c>
      <c r="D13" s="11" t="n">
        <v>1700</v>
      </c>
      <c r="E13" s="16"/>
      <c r="F13" s="16"/>
      <c r="G13" s="11"/>
      <c r="H13" s="11"/>
      <c r="I13" s="11"/>
      <c r="J13" s="11"/>
      <c r="K13" s="11"/>
      <c r="L13" s="16"/>
      <c r="M13" s="13"/>
      <c r="N13" s="11" t="str">
        <f aca="false">IF($A13="","",IFERROR(VLOOKUP($A13,Contenuti!$A:$K,3,FALSE()),""))</f>
        <v>Tier list</v>
      </c>
      <c r="O13" s="11" t="str">
        <f aca="false">IF($A13="","",IFERROR(VLOOKUP($A13,Contenuti!$A:$K,4,FALSE()),""))</f>
        <v>Film</v>
      </c>
      <c r="P13" s="11" t="str">
        <f aca="false">IF($A13="","",IFERROR(VLOOKUP($A13,Contenuti!$A:$K,6,FALSE()),""))</f>
        <v>Cover</v>
      </c>
      <c r="Q13" s="11" t="str">
        <f aca="false">IF($A13="","",IFERROR(VLOOKUP($A13,Contenuti!$A:$K,7,FALSE()),""))</f>
        <v>—</v>
      </c>
    </row>
    <row r="14" customFormat="false" ht="15" hidden="false" customHeight="false" outlineLevel="0" collapsed="false">
      <c r="A14" s="8" t="s">
        <v>120</v>
      </c>
      <c r="B14" s="8" t="s">
        <v>151</v>
      </c>
      <c r="C14" s="8" t="s">
        <v>150</v>
      </c>
      <c r="D14" s="8" t="n">
        <v>570</v>
      </c>
      <c r="E14" s="15"/>
      <c r="F14" s="15"/>
      <c r="G14" s="8"/>
      <c r="H14" s="8"/>
      <c r="I14" s="8"/>
      <c r="J14" s="8"/>
      <c r="K14" s="8"/>
      <c r="L14" s="15"/>
      <c r="M14" s="10"/>
      <c r="N14" s="11" t="str">
        <f aca="false">IF($A14="","",IFERROR(VLOOKUP($A14,Contenuti!$A:$K,3,FALSE()),""))</f>
        <v>Tier list</v>
      </c>
      <c r="O14" s="11" t="str">
        <f aca="false">IF($A14="","",IFERROR(VLOOKUP($A14,Contenuti!$A:$K,4,FALSE()),""))</f>
        <v>Film</v>
      </c>
      <c r="P14" s="11" t="str">
        <f aca="false">IF($A14="","",IFERROR(VLOOKUP($A14,Contenuti!$A:$K,6,FALSE()),""))</f>
        <v>Cover</v>
      </c>
      <c r="Q14" s="11" t="str">
        <f aca="false">IF($A14="","",IFERROR(VLOOKUP($A14,Contenuti!$A:$K,7,FALSE()),""))</f>
        <v>—</v>
      </c>
    </row>
    <row r="15" customFormat="false" ht="15" hidden="false" customHeight="false" outlineLevel="0" collapsed="false">
      <c r="A15" s="11" t="s">
        <v>108</v>
      </c>
      <c r="B15" s="11" t="s">
        <v>151</v>
      </c>
      <c r="C15" s="11" t="s">
        <v>150</v>
      </c>
      <c r="D15" s="11" t="n">
        <v>530</v>
      </c>
      <c r="E15" s="16"/>
      <c r="F15" s="16"/>
      <c r="G15" s="11"/>
      <c r="H15" s="11"/>
      <c r="I15" s="11"/>
      <c r="J15" s="11"/>
      <c r="K15" s="11"/>
      <c r="L15" s="16"/>
      <c r="M15" s="13"/>
      <c r="N15" s="11" t="str">
        <f aca="false">IF($A15="","",IFERROR(VLOOKUP($A15,Contenuti!$A:$K,3,FALSE()),""))</f>
        <v>Reel/Short</v>
      </c>
      <c r="O15" s="11" t="str">
        <f aca="false">IF($A15="","",IFERROR(VLOOKUP($A15,Contenuti!$A:$K,4,FALSE()),""))</f>
        <v>Film</v>
      </c>
      <c r="P15" s="11" t="str">
        <f aca="false">IF($A15="","",IFERROR(VLOOKUP($A15,Contenuti!$A:$K,6,FALSE()),""))</f>
        <v>Classica</v>
      </c>
      <c r="Q15" s="11" t="str">
        <f aca="false">IF($A15="","",IFERROR(VLOOKUP($A15,Contenuti!$A:$K,7,FALSE()),""))</f>
        <v>Con micro-trama</v>
      </c>
    </row>
    <row r="16" customFormat="false" ht="15" hidden="false" customHeight="false" outlineLevel="0" collapsed="false">
      <c r="A16" s="8" t="s">
        <v>36</v>
      </c>
      <c r="B16" s="8" t="s">
        <v>151</v>
      </c>
      <c r="C16" s="8" t="s">
        <v>150</v>
      </c>
      <c r="D16" s="8" t="n">
        <v>264</v>
      </c>
      <c r="E16" s="15"/>
      <c r="F16" s="15"/>
      <c r="G16" s="8"/>
      <c r="H16" s="8"/>
      <c r="I16" s="8"/>
      <c r="J16" s="8"/>
      <c r="K16" s="8"/>
      <c r="L16" s="15"/>
      <c r="M16" s="10"/>
      <c r="N16" s="11" t="str">
        <f aca="false">IF($A16="","",IFERROR(VLOOKUP($A16,Contenuti!$A:$K,3,FALSE()),""))</f>
        <v>Reel/Short</v>
      </c>
      <c r="O16" s="11" t="str">
        <f aca="false">IF($A16="","",IFERROR(VLOOKUP($A16,Contenuti!$A:$K,4,FALSE()),""))</f>
        <v>Film</v>
      </c>
      <c r="P16" s="11" t="str">
        <f aca="false">IF($A16="","",IFERROR(VLOOKUP($A16,Contenuti!$A:$K,6,FALSE()),""))</f>
        <v>Classica</v>
      </c>
      <c r="Q16" s="11" t="str">
        <f aca="false">IF($A16="","",IFERROR(VLOOKUP($A16,Contenuti!$A:$K,7,FALSE()),""))</f>
        <v>Solo titoli</v>
      </c>
    </row>
    <row r="17" customFormat="false" ht="15" hidden="false" customHeight="false" outlineLevel="0" collapsed="false">
      <c r="A17" s="11" t="s">
        <v>83</v>
      </c>
      <c r="B17" s="11" t="s">
        <v>151</v>
      </c>
      <c r="C17" s="11" t="s">
        <v>150</v>
      </c>
      <c r="D17" s="11" t="n">
        <v>212</v>
      </c>
      <c r="E17" s="16"/>
      <c r="F17" s="16"/>
      <c r="G17" s="11"/>
      <c r="H17" s="11"/>
      <c r="I17" s="11"/>
      <c r="J17" s="11"/>
      <c r="K17" s="11"/>
      <c r="L17" s="16"/>
      <c r="M17" s="13"/>
      <c r="N17" s="11" t="str">
        <f aca="false">IF($A17="","",IFERROR(VLOOKUP($A17,Contenuti!$A:$K,3,FALSE()),""))</f>
        <v>Reel/Short</v>
      </c>
      <c r="O17" s="11" t="str">
        <f aca="false">IF($A17="","",IFERROR(VLOOKUP($A17,Contenuti!$A:$K,4,FALSE()),""))</f>
        <v>Serie</v>
      </c>
      <c r="P17" s="11" t="str">
        <f aca="false">IF($A17="","",IFERROR(VLOOKUP($A17,Contenuti!$A:$K,6,FALSE()),""))</f>
        <v>Domanda 2 tempi</v>
      </c>
      <c r="Q17" s="11" t="str">
        <f aca="false">IF($A17="","",IFERROR(VLOOKUP($A17,Contenuti!$A:$K,7,FALSE()),""))</f>
        <v>Con micro-trama</v>
      </c>
    </row>
    <row r="18" customFormat="false" ht="15" hidden="false" customHeight="false" outlineLevel="0" collapsed="false">
      <c r="A18" s="8" t="s">
        <v>126</v>
      </c>
      <c r="B18" s="8" t="s">
        <v>132</v>
      </c>
      <c r="C18" s="8" t="s">
        <v>150</v>
      </c>
      <c r="D18" s="8" t="n">
        <v>10818</v>
      </c>
      <c r="E18" s="15"/>
      <c r="F18" s="15"/>
      <c r="G18" s="8"/>
      <c r="H18" s="8"/>
      <c r="I18" s="8"/>
      <c r="J18" s="8"/>
      <c r="K18" s="8"/>
      <c r="L18" s="15"/>
      <c r="M18" s="10"/>
      <c r="N18" s="11" t="str">
        <f aca="false">IF($A18="","",IFERROR(VLOOKUP($A18,Contenuti!$A:$K,3,FALSE()),""))</f>
        <v>Tier list</v>
      </c>
      <c r="O18" s="11" t="str">
        <f aca="false">IF($A18="","",IFERROR(VLOOKUP($A18,Contenuti!$A:$K,4,FALSE()),""))</f>
        <v>Serie</v>
      </c>
      <c r="P18" s="11" t="str">
        <f aca="false">IF($A18="","",IFERROR(VLOOKUP($A18,Contenuti!$A:$K,6,FALSE()),""))</f>
        <v>Cover</v>
      </c>
      <c r="Q18" s="11" t="str">
        <f aca="false">IF($A18="","",IFERROR(VLOOKUP($A18,Contenuti!$A:$K,7,FALSE()),""))</f>
        <v>—</v>
      </c>
    </row>
    <row r="19" customFormat="false" ht="15" hidden="false" customHeight="false" outlineLevel="0" collapsed="false">
      <c r="A19" s="11" t="s">
        <v>116</v>
      </c>
      <c r="B19" s="11" t="s">
        <v>132</v>
      </c>
      <c r="C19" s="11" t="s">
        <v>150</v>
      </c>
      <c r="D19" s="11" t="n">
        <v>3439</v>
      </c>
      <c r="E19" s="16"/>
      <c r="F19" s="16"/>
      <c r="G19" s="11"/>
      <c r="H19" s="11"/>
      <c r="I19" s="11"/>
      <c r="J19" s="11"/>
      <c r="K19" s="11"/>
      <c r="L19" s="16"/>
      <c r="M19" s="13"/>
      <c r="N19" s="11" t="str">
        <f aca="false">IF($A19="","",IFERROR(VLOOKUP($A19,Contenuti!$A:$K,3,FALSE()),""))</f>
        <v>Tier list</v>
      </c>
      <c r="O19" s="11" t="str">
        <f aca="false">IF($A19="","",IFERROR(VLOOKUP($A19,Contenuti!$A:$K,4,FALSE()),""))</f>
        <v>Serie</v>
      </c>
      <c r="P19" s="11" t="str">
        <f aca="false">IF($A19="","",IFERROR(VLOOKUP($A19,Contenuti!$A:$K,6,FALSE()),""))</f>
        <v>Cover</v>
      </c>
      <c r="Q19" s="11" t="str">
        <f aca="false">IF($A19="","",IFERROR(VLOOKUP($A19,Contenuti!$A:$K,7,FALSE()),""))</f>
        <v>—</v>
      </c>
    </row>
    <row r="20" customFormat="false" ht="15" hidden="false" customHeight="false" outlineLevel="0" collapsed="false">
      <c r="A20" s="8" t="s">
        <v>108</v>
      </c>
      <c r="B20" s="8" t="s">
        <v>132</v>
      </c>
      <c r="C20" s="8" t="s">
        <v>150</v>
      </c>
      <c r="D20" s="8" t="n">
        <v>609</v>
      </c>
      <c r="E20" s="15"/>
      <c r="F20" s="15"/>
      <c r="G20" s="8"/>
      <c r="H20" s="8"/>
      <c r="I20" s="8"/>
      <c r="J20" s="8"/>
      <c r="K20" s="8"/>
      <c r="L20" s="15"/>
      <c r="M20" s="10"/>
      <c r="N20" s="11" t="str">
        <f aca="false">IF($A20="","",IFERROR(VLOOKUP($A20,Contenuti!$A:$K,3,FALSE()),""))</f>
        <v>Reel/Short</v>
      </c>
      <c r="O20" s="11" t="str">
        <f aca="false">IF($A20="","",IFERROR(VLOOKUP($A20,Contenuti!$A:$K,4,FALSE()),""))</f>
        <v>Film</v>
      </c>
      <c r="P20" s="11" t="str">
        <f aca="false">IF($A20="","",IFERROR(VLOOKUP($A20,Contenuti!$A:$K,6,FALSE()),""))</f>
        <v>Classica</v>
      </c>
      <c r="Q20" s="11" t="str">
        <f aca="false">IF($A20="","",IFERROR(VLOOKUP($A20,Contenuti!$A:$K,7,FALSE()),""))</f>
        <v>Con micro-trama</v>
      </c>
    </row>
    <row r="21" customFormat="false" ht="15" hidden="false" customHeight="false" outlineLevel="0" collapsed="false">
      <c r="A21" s="11" t="s">
        <v>130</v>
      </c>
      <c r="B21" s="11" t="s">
        <v>132</v>
      </c>
      <c r="C21" s="11" t="s">
        <v>150</v>
      </c>
      <c r="D21" s="11" t="n">
        <v>140</v>
      </c>
      <c r="E21" s="16"/>
      <c r="F21" s="16"/>
      <c r="G21" s="11"/>
      <c r="H21" s="11"/>
      <c r="I21" s="11"/>
      <c r="J21" s="11"/>
      <c r="K21" s="11"/>
      <c r="L21" s="16"/>
      <c r="M21" s="13"/>
      <c r="N21" s="11" t="str">
        <f aca="false">IF($A21="","",IFERROR(VLOOKUP($A21,Contenuti!$A:$K,3,FALSE()),""))</f>
        <v>Tier list</v>
      </c>
      <c r="O21" s="11" t="str">
        <f aca="false">IF($A21="","",IFERROR(VLOOKUP($A21,Contenuti!$A:$K,4,FALSE()),""))</f>
        <v>Serie</v>
      </c>
      <c r="P21" s="11" t="str">
        <f aca="false">IF($A21="","",IFERROR(VLOOKUP($A21,Contenuti!$A:$K,6,FALSE()),""))</f>
        <v>Cover</v>
      </c>
      <c r="Q21" s="11" t="str">
        <f aca="false">IF($A21="","",IFERROR(VLOOKUP($A21,Contenuti!$A:$K,7,FALSE()),""))</f>
        <v>—</v>
      </c>
    </row>
    <row r="22" customFormat="false" ht="35.05" hidden="false" customHeight="false" outlineLevel="0" collapsed="false">
      <c r="A22" s="8"/>
      <c r="B22" s="8"/>
      <c r="C22" s="8"/>
      <c r="D22" s="8"/>
      <c r="E22" s="15"/>
      <c r="F22" s="15"/>
      <c r="G22" s="8"/>
      <c r="H22" s="8"/>
      <c r="I22" s="8"/>
      <c r="J22" s="8"/>
      <c r="K22" s="8"/>
      <c r="L22" s="15"/>
      <c r="M22" s="10" t="s">
        <v>152</v>
      </c>
      <c r="N22" s="11" t="str">
        <f aca="false">IF($A22="","",IFERROR(VLOOKUP($A22,Contenuti!$A:$K,3,FALSE()),""))</f>
        <v/>
      </c>
      <c r="O22" s="11" t="str">
        <f aca="false">IF($A22="","",IFERROR(VLOOKUP($A22,Contenuti!$A:$K,4,FALSE()),""))</f>
        <v/>
      </c>
      <c r="P22" s="11" t="str">
        <f aca="false">IF($A22="","",IFERROR(VLOOKUP($A22,Contenuti!$A:$K,6,FALSE()),""))</f>
        <v/>
      </c>
      <c r="Q22" s="11" t="str">
        <f aca="false">IF($A22="","",IFERROR(VLOOKUP($A22,Contenuti!$A:$K,7,FALSE()),""))</f>
        <v/>
      </c>
    </row>
    <row r="23" customFormat="false" ht="15" hidden="false" customHeight="false" outlineLevel="0" collapsed="false">
      <c r="A23" s="11"/>
      <c r="B23" s="11"/>
      <c r="C23" s="11"/>
      <c r="D23" s="11"/>
      <c r="E23" s="16"/>
      <c r="F23" s="16"/>
      <c r="G23" s="11"/>
      <c r="H23" s="11"/>
      <c r="I23" s="11"/>
      <c r="J23" s="11"/>
      <c r="K23" s="11"/>
      <c r="L23" s="16"/>
      <c r="M23" s="13"/>
      <c r="N23" s="11" t="str">
        <f aca="false">IF($A23="","",IFERROR(VLOOKUP($A23,Contenuti!$A:$K,3,FALSE()),""))</f>
        <v/>
      </c>
      <c r="O23" s="11" t="str">
        <f aca="false">IF($A23="","",IFERROR(VLOOKUP($A23,Contenuti!$A:$K,4,FALSE()),""))</f>
        <v/>
      </c>
      <c r="P23" s="11" t="str">
        <f aca="false">IF($A23="","",IFERROR(VLOOKUP($A23,Contenuti!$A:$K,6,FALSE()),""))</f>
        <v/>
      </c>
      <c r="Q23" s="11" t="str">
        <f aca="false">IF($A23="","",IFERROR(VLOOKUP($A23,Contenuti!$A:$K,7,FALSE()),""))</f>
        <v/>
      </c>
    </row>
    <row r="24" customFormat="false" ht="15" hidden="false" customHeight="false" outlineLevel="0" collapsed="false">
      <c r="A24" s="8"/>
      <c r="B24" s="8"/>
      <c r="C24" s="8"/>
      <c r="D24" s="8"/>
      <c r="E24" s="15"/>
      <c r="F24" s="15"/>
      <c r="G24" s="8"/>
      <c r="H24" s="8"/>
      <c r="I24" s="8"/>
      <c r="J24" s="8"/>
      <c r="K24" s="8"/>
      <c r="L24" s="15"/>
      <c r="M24" s="10"/>
      <c r="N24" s="11" t="str">
        <f aca="false">IF($A24="","",IFERROR(VLOOKUP($A24,Contenuti!$A:$K,3,FALSE()),""))</f>
        <v/>
      </c>
      <c r="O24" s="11" t="str">
        <f aca="false">IF($A24="","",IFERROR(VLOOKUP($A24,Contenuti!$A:$K,4,FALSE()),""))</f>
        <v/>
      </c>
      <c r="P24" s="11" t="str">
        <f aca="false">IF($A24="","",IFERROR(VLOOKUP($A24,Contenuti!$A:$K,6,FALSE()),""))</f>
        <v/>
      </c>
      <c r="Q24" s="11" t="str">
        <f aca="false">IF($A24="","",IFERROR(VLOOKUP($A24,Contenuti!$A:$K,7,FALSE()),""))</f>
        <v/>
      </c>
    </row>
    <row r="25" customFormat="false" ht="15" hidden="false" customHeight="false" outlineLevel="0" collapsed="false">
      <c r="A25" s="11"/>
      <c r="B25" s="11"/>
      <c r="C25" s="11"/>
      <c r="D25" s="11"/>
      <c r="E25" s="16"/>
      <c r="F25" s="16"/>
      <c r="G25" s="11"/>
      <c r="H25" s="11"/>
      <c r="I25" s="11"/>
      <c r="J25" s="11"/>
      <c r="K25" s="11"/>
      <c r="L25" s="16"/>
      <c r="M25" s="13"/>
      <c r="N25" s="11" t="str">
        <f aca="false">IF($A25="","",IFERROR(VLOOKUP($A25,Contenuti!$A:$K,3,FALSE()),""))</f>
        <v/>
      </c>
      <c r="O25" s="11" t="str">
        <f aca="false">IF($A25="","",IFERROR(VLOOKUP($A25,Contenuti!$A:$K,4,FALSE()),""))</f>
        <v/>
      </c>
      <c r="P25" s="11" t="str">
        <f aca="false">IF($A25="","",IFERROR(VLOOKUP($A25,Contenuti!$A:$K,6,FALSE()),""))</f>
        <v/>
      </c>
      <c r="Q25" s="11" t="str">
        <f aca="false">IF($A25="","",IFERROR(VLOOKUP($A25,Contenuti!$A:$K,7,FALSE()),""))</f>
        <v/>
      </c>
    </row>
    <row r="26" customFormat="false" ht="15" hidden="false" customHeight="false" outlineLevel="0" collapsed="false">
      <c r="A26" s="8"/>
      <c r="B26" s="8"/>
      <c r="C26" s="8"/>
      <c r="D26" s="8"/>
      <c r="E26" s="15"/>
      <c r="F26" s="15"/>
      <c r="G26" s="8"/>
      <c r="H26" s="8"/>
      <c r="I26" s="8"/>
      <c r="J26" s="8"/>
      <c r="K26" s="8"/>
      <c r="L26" s="15"/>
      <c r="M26" s="10"/>
      <c r="N26" s="11" t="str">
        <f aca="false">IF($A26="","",IFERROR(VLOOKUP($A26,Contenuti!$A:$K,3,FALSE()),""))</f>
        <v/>
      </c>
      <c r="O26" s="11" t="str">
        <f aca="false">IF($A26="","",IFERROR(VLOOKUP($A26,Contenuti!$A:$K,4,FALSE()),""))</f>
        <v/>
      </c>
      <c r="P26" s="11" t="str">
        <f aca="false">IF($A26="","",IFERROR(VLOOKUP($A26,Contenuti!$A:$K,6,FALSE()),""))</f>
        <v/>
      </c>
      <c r="Q26" s="11" t="str">
        <f aca="false">IF($A26="","",IFERROR(VLOOKUP($A26,Contenuti!$A:$K,7,FALSE()),""))</f>
        <v/>
      </c>
    </row>
    <row r="27" customFormat="false" ht="15" hidden="false" customHeight="false" outlineLevel="0" collapsed="false">
      <c r="A27" s="11"/>
      <c r="B27" s="11"/>
      <c r="C27" s="11"/>
      <c r="D27" s="11"/>
      <c r="E27" s="16"/>
      <c r="F27" s="16"/>
      <c r="G27" s="11"/>
      <c r="H27" s="11"/>
      <c r="I27" s="11"/>
      <c r="J27" s="11"/>
      <c r="K27" s="11"/>
      <c r="L27" s="16"/>
      <c r="M27" s="13"/>
      <c r="N27" s="11" t="str">
        <f aca="false">IF($A27="","",IFERROR(VLOOKUP($A27,Contenuti!$A:$K,3,FALSE()),""))</f>
        <v/>
      </c>
      <c r="O27" s="11" t="str">
        <f aca="false">IF($A27="","",IFERROR(VLOOKUP($A27,Contenuti!$A:$K,4,FALSE()),""))</f>
        <v/>
      </c>
      <c r="P27" s="11" t="str">
        <f aca="false">IF($A27="","",IFERROR(VLOOKUP($A27,Contenuti!$A:$K,6,FALSE()),""))</f>
        <v/>
      </c>
      <c r="Q27" s="11" t="str">
        <f aca="false">IF($A27="","",IFERROR(VLOOKUP($A27,Contenuti!$A:$K,7,FALSE()),""))</f>
        <v/>
      </c>
    </row>
    <row r="28" customFormat="false" ht="15" hidden="false" customHeight="false" outlineLevel="0" collapsed="false">
      <c r="A28" s="8"/>
      <c r="B28" s="8"/>
      <c r="C28" s="8"/>
      <c r="D28" s="8"/>
      <c r="E28" s="15"/>
      <c r="F28" s="15"/>
      <c r="G28" s="8"/>
      <c r="H28" s="8"/>
      <c r="I28" s="8"/>
      <c r="J28" s="8"/>
      <c r="K28" s="8"/>
      <c r="L28" s="15"/>
      <c r="M28" s="10"/>
      <c r="N28" s="11" t="str">
        <f aca="false">IF($A28="","",IFERROR(VLOOKUP($A28,Contenuti!$A:$K,3,FALSE()),""))</f>
        <v/>
      </c>
      <c r="O28" s="11" t="str">
        <f aca="false">IF($A28="","",IFERROR(VLOOKUP($A28,Contenuti!$A:$K,4,FALSE()),""))</f>
        <v/>
      </c>
      <c r="P28" s="11" t="str">
        <f aca="false">IF($A28="","",IFERROR(VLOOKUP($A28,Contenuti!$A:$K,6,FALSE()),""))</f>
        <v/>
      </c>
      <c r="Q28" s="11" t="str">
        <f aca="false">IF($A28="","",IFERROR(VLOOKUP($A28,Contenuti!$A:$K,7,FALSE()),""))</f>
        <v/>
      </c>
    </row>
    <row r="29" customFormat="false" ht="15" hidden="false" customHeight="false" outlineLevel="0" collapsed="false">
      <c r="A29" s="11"/>
      <c r="B29" s="11"/>
      <c r="C29" s="11"/>
      <c r="D29" s="11"/>
      <c r="E29" s="16"/>
      <c r="F29" s="16"/>
      <c r="G29" s="11"/>
      <c r="H29" s="11"/>
      <c r="I29" s="11"/>
      <c r="J29" s="11"/>
      <c r="K29" s="11"/>
      <c r="L29" s="16"/>
      <c r="M29" s="13"/>
      <c r="N29" s="11" t="str">
        <f aca="false">IF($A29="","",IFERROR(VLOOKUP($A29,Contenuti!$A:$K,3,FALSE()),""))</f>
        <v/>
      </c>
      <c r="O29" s="11" t="str">
        <f aca="false">IF($A29="","",IFERROR(VLOOKUP($A29,Contenuti!$A:$K,4,FALSE()),""))</f>
        <v/>
      </c>
      <c r="P29" s="11" t="str">
        <f aca="false">IF($A29="","",IFERROR(VLOOKUP($A29,Contenuti!$A:$K,6,FALSE()),""))</f>
        <v/>
      </c>
      <c r="Q29" s="11" t="str">
        <f aca="false">IF($A29="","",IFERROR(VLOOKUP($A29,Contenuti!$A:$K,7,FALSE()),""))</f>
        <v/>
      </c>
    </row>
    <row r="30" customFormat="false" ht="15" hidden="false" customHeight="false" outlineLevel="0" collapsed="false">
      <c r="A30" s="8"/>
      <c r="B30" s="8"/>
      <c r="C30" s="8"/>
      <c r="D30" s="8"/>
      <c r="E30" s="15"/>
      <c r="F30" s="15"/>
      <c r="G30" s="8"/>
      <c r="H30" s="8"/>
      <c r="I30" s="8"/>
      <c r="J30" s="8"/>
      <c r="K30" s="8"/>
      <c r="L30" s="15"/>
      <c r="M30" s="10"/>
      <c r="N30" s="11" t="str">
        <f aca="false">IF($A30="","",IFERROR(VLOOKUP($A30,Contenuti!$A:$K,3,FALSE()),""))</f>
        <v/>
      </c>
      <c r="O30" s="11" t="str">
        <f aca="false">IF($A30="","",IFERROR(VLOOKUP($A30,Contenuti!$A:$K,4,FALSE()),""))</f>
        <v/>
      </c>
      <c r="P30" s="11" t="str">
        <f aca="false">IF($A30="","",IFERROR(VLOOKUP($A30,Contenuti!$A:$K,6,FALSE()),""))</f>
        <v/>
      </c>
      <c r="Q30" s="11" t="str">
        <f aca="false">IF($A30="","",IFERROR(VLOOKUP($A30,Contenuti!$A:$K,7,FALSE()),""))</f>
        <v/>
      </c>
    </row>
    <row r="31" customFormat="false" ht="15" hidden="false" customHeight="false" outlineLevel="0" collapsed="false">
      <c r="A31" s="11"/>
      <c r="B31" s="11"/>
      <c r="C31" s="11"/>
      <c r="D31" s="11"/>
      <c r="E31" s="16"/>
      <c r="F31" s="16"/>
      <c r="G31" s="11"/>
      <c r="H31" s="11"/>
      <c r="I31" s="11"/>
      <c r="J31" s="11"/>
      <c r="K31" s="11"/>
      <c r="L31" s="16"/>
      <c r="M31" s="13"/>
      <c r="N31" s="11" t="str">
        <f aca="false">IF($A31="","",IFERROR(VLOOKUP($A31,Contenuti!$A:$K,3,FALSE()),""))</f>
        <v/>
      </c>
      <c r="O31" s="11" t="str">
        <f aca="false">IF($A31="","",IFERROR(VLOOKUP($A31,Contenuti!$A:$K,4,FALSE()),""))</f>
        <v/>
      </c>
      <c r="P31" s="11" t="str">
        <f aca="false">IF($A31="","",IFERROR(VLOOKUP($A31,Contenuti!$A:$K,6,FALSE()),""))</f>
        <v/>
      </c>
      <c r="Q31" s="11" t="str">
        <f aca="false">IF($A31="","",IFERROR(VLOOKUP($A31,Contenuti!$A:$K,7,FALSE()),""))</f>
        <v/>
      </c>
    </row>
    <row r="32" customFormat="false" ht="15" hidden="false" customHeight="false" outlineLevel="0" collapsed="false">
      <c r="A32" s="8"/>
      <c r="B32" s="8"/>
      <c r="C32" s="8"/>
      <c r="D32" s="8"/>
      <c r="E32" s="15"/>
      <c r="F32" s="15"/>
      <c r="G32" s="8"/>
      <c r="H32" s="8"/>
      <c r="I32" s="8"/>
      <c r="J32" s="8"/>
      <c r="K32" s="8"/>
      <c r="L32" s="15"/>
      <c r="M32" s="10"/>
      <c r="N32" s="11" t="str">
        <f aca="false">IF($A32="","",IFERROR(VLOOKUP($A32,Contenuti!$A:$K,3,FALSE()),""))</f>
        <v/>
      </c>
      <c r="O32" s="11" t="str">
        <f aca="false">IF($A32="","",IFERROR(VLOOKUP($A32,Contenuti!$A:$K,4,FALSE()),""))</f>
        <v/>
      </c>
      <c r="P32" s="11" t="str">
        <f aca="false">IF($A32="","",IFERROR(VLOOKUP($A32,Contenuti!$A:$K,6,FALSE()),""))</f>
        <v/>
      </c>
      <c r="Q32" s="11" t="str">
        <f aca="false">IF($A32="","",IFERROR(VLOOKUP($A32,Contenuti!$A:$K,7,FALSE()),""))</f>
        <v/>
      </c>
    </row>
    <row r="33" customFormat="false" ht="15" hidden="false" customHeight="false" outlineLevel="0" collapsed="false">
      <c r="A33" s="11"/>
      <c r="B33" s="11"/>
      <c r="C33" s="11"/>
      <c r="D33" s="11"/>
      <c r="E33" s="16"/>
      <c r="F33" s="16"/>
      <c r="G33" s="11"/>
      <c r="H33" s="11"/>
      <c r="I33" s="11"/>
      <c r="J33" s="11"/>
      <c r="K33" s="11"/>
      <c r="L33" s="16"/>
      <c r="M33" s="13"/>
      <c r="N33" s="11" t="str">
        <f aca="false">IF($A33="","",IFERROR(VLOOKUP($A33,Contenuti!$A:$K,3,FALSE()),""))</f>
        <v/>
      </c>
      <c r="O33" s="11" t="str">
        <f aca="false">IF($A33="","",IFERROR(VLOOKUP($A33,Contenuti!$A:$K,4,FALSE()),""))</f>
        <v/>
      </c>
      <c r="P33" s="11" t="str">
        <f aca="false">IF($A33="","",IFERROR(VLOOKUP($A33,Contenuti!$A:$K,6,FALSE()),""))</f>
        <v/>
      </c>
      <c r="Q33" s="11" t="str">
        <f aca="false">IF($A33="","",IFERROR(VLOOKUP($A33,Contenuti!$A:$K,7,FALSE()),""))</f>
        <v/>
      </c>
    </row>
    <row r="34" customFormat="false" ht="15" hidden="false" customHeight="false" outlineLevel="0" collapsed="false">
      <c r="A34" s="8"/>
      <c r="B34" s="8"/>
      <c r="C34" s="8"/>
      <c r="D34" s="8"/>
      <c r="E34" s="15"/>
      <c r="F34" s="15"/>
      <c r="G34" s="8"/>
      <c r="H34" s="8"/>
      <c r="I34" s="8"/>
      <c r="J34" s="8"/>
      <c r="K34" s="8"/>
      <c r="L34" s="15"/>
      <c r="M34" s="10"/>
      <c r="N34" s="11" t="str">
        <f aca="false">IF($A34="","",IFERROR(VLOOKUP($A34,Contenuti!$A:$K,3,FALSE()),""))</f>
        <v/>
      </c>
      <c r="O34" s="11" t="str">
        <f aca="false">IF($A34="","",IFERROR(VLOOKUP($A34,Contenuti!$A:$K,4,FALSE()),""))</f>
        <v/>
      </c>
      <c r="P34" s="11" t="str">
        <f aca="false">IF($A34="","",IFERROR(VLOOKUP($A34,Contenuti!$A:$K,6,FALSE()),""))</f>
        <v/>
      </c>
      <c r="Q34" s="11" t="str">
        <f aca="false">IF($A34="","",IFERROR(VLOOKUP($A34,Contenuti!$A:$K,7,FALSE()),""))</f>
        <v/>
      </c>
    </row>
    <row r="35" customFormat="false" ht="15" hidden="false" customHeight="false" outlineLevel="0" collapsed="false">
      <c r="A35" s="11"/>
      <c r="B35" s="11"/>
      <c r="C35" s="11"/>
      <c r="D35" s="11"/>
      <c r="E35" s="16"/>
      <c r="F35" s="16"/>
      <c r="G35" s="11"/>
      <c r="H35" s="11"/>
      <c r="I35" s="11"/>
      <c r="J35" s="11"/>
      <c r="K35" s="11"/>
      <c r="L35" s="16"/>
      <c r="M35" s="13"/>
      <c r="N35" s="11" t="str">
        <f aca="false">IF($A35="","",IFERROR(VLOOKUP($A35,Contenuti!$A:$K,3,FALSE()),""))</f>
        <v/>
      </c>
      <c r="O35" s="11" t="str">
        <f aca="false">IF($A35="","",IFERROR(VLOOKUP($A35,Contenuti!$A:$K,4,FALSE()),""))</f>
        <v/>
      </c>
      <c r="P35" s="11" t="str">
        <f aca="false">IF($A35="","",IFERROR(VLOOKUP($A35,Contenuti!$A:$K,6,FALSE()),""))</f>
        <v/>
      </c>
      <c r="Q35" s="11" t="str">
        <f aca="false">IF($A35="","",IFERROR(VLOOKUP($A35,Contenuti!$A:$K,7,FALSE()),""))</f>
        <v/>
      </c>
    </row>
    <row r="36" customFormat="false" ht="15" hidden="false" customHeight="false" outlineLevel="0" collapsed="false">
      <c r="A36" s="8"/>
      <c r="B36" s="8"/>
      <c r="C36" s="8"/>
      <c r="D36" s="8"/>
      <c r="E36" s="15"/>
      <c r="F36" s="15"/>
      <c r="G36" s="8"/>
      <c r="H36" s="8"/>
      <c r="I36" s="8"/>
      <c r="J36" s="8"/>
      <c r="K36" s="8"/>
      <c r="L36" s="15"/>
      <c r="M36" s="10"/>
      <c r="N36" s="11" t="str">
        <f aca="false">IF($A36="","",IFERROR(VLOOKUP($A36,Contenuti!$A:$K,3,FALSE()),""))</f>
        <v/>
      </c>
      <c r="O36" s="11" t="str">
        <f aca="false">IF($A36="","",IFERROR(VLOOKUP($A36,Contenuti!$A:$K,4,FALSE()),""))</f>
        <v/>
      </c>
      <c r="P36" s="11" t="str">
        <f aca="false">IF($A36="","",IFERROR(VLOOKUP($A36,Contenuti!$A:$K,6,FALSE()),""))</f>
        <v/>
      </c>
      <c r="Q36" s="11" t="str">
        <f aca="false">IF($A36="","",IFERROR(VLOOKUP($A36,Contenuti!$A:$K,7,FALSE()),""))</f>
        <v/>
      </c>
    </row>
    <row r="37" customFormat="false" ht="15" hidden="false" customHeight="false" outlineLevel="0" collapsed="false">
      <c r="A37" s="11"/>
      <c r="B37" s="11"/>
      <c r="C37" s="11"/>
      <c r="D37" s="11"/>
      <c r="E37" s="16"/>
      <c r="F37" s="16"/>
      <c r="G37" s="11"/>
      <c r="H37" s="11"/>
      <c r="I37" s="11"/>
      <c r="J37" s="11"/>
      <c r="K37" s="11"/>
      <c r="L37" s="16"/>
      <c r="M37" s="13"/>
      <c r="N37" s="11" t="str">
        <f aca="false">IF($A37="","",IFERROR(VLOOKUP($A37,Contenuti!$A:$K,3,FALSE()),""))</f>
        <v/>
      </c>
      <c r="O37" s="11" t="str">
        <f aca="false">IF($A37="","",IFERROR(VLOOKUP($A37,Contenuti!$A:$K,4,FALSE()),""))</f>
        <v/>
      </c>
      <c r="P37" s="11" t="str">
        <f aca="false">IF($A37="","",IFERROR(VLOOKUP($A37,Contenuti!$A:$K,6,FALSE()),""))</f>
        <v/>
      </c>
      <c r="Q37" s="11" t="str">
        <f aca="false">IF($A37="","",IFERROR(VLOOKUP($A37,Contenuti!$A:$K,7,FALSE()),""))</f>
        <v/>
      </c>
    </row>
    <row r="38" customFormat="false" ht="15" hidden="false" customHeight="false" outlineLevel="0" collapsed="false">
      <c r="A38" s="8"/>
      <c r="B38" s="8"/>
      <c r="C38" s="8"/>
      <c r="D38" s="8"/>
      <c r="E38" s="15"/>
      <c r="F38" s="15"/>
      <c r="G38" s="8"/>
      <c r="H38" s="8"/>
      <c r="I38" s="8"/>
      <c r="J38" s="8"/>
      <c r="K38" s="8"/>
      <c r="L38" s="15"/>
      <c r="M38" s="10"/>
      <c r="N38" s="11" t="str">
        <f aca="false">IF($A38="","",IFERROR(VLOOKUP($A38,Contenuti!$A:$K,3,FALSE()),""))</f>
        <v/>
      </c>
      <c r="O38" s="11" t="str">
        <f aca="false">IF($A38="","",IFERROR(VLOOKUP($A38,Contenuti!$A:$K,4,FALSE()),""))</f>
        <v/>
      </c>
      <c r="P38" s="11" t="str">
        <f aca="false">IF($A38="","",IFERROR(VLOOKUP($A38,Contenuti!$A:$K,6,FALSE()),""))</f>
        <v/>
      </c>
      <c r="Q38" s="11" t="str">
        <f aca="false">IF($A38="","",IFERROR(VLOOKUP($A38,Contenuti!$A:$K,7,FALSE()),""))</f>
        <v/>
      </c>
    </row>
    <row r="39" customFormat="false" ht="15" hidden="false" customHeight="false" outlineLevel="0" collapsed="false">
      <c r="A39" s="11"/>
      <c r="B39" s="11"/>
      <c r="C39" s="11"/>
      <c r="D39" s="11"/>
      <c r="E39" s="16"/>
      <c r="F39" s="16"/>
      <c r="G39" s="11"/>
      <c r="H39" s="11"/>
      <c r="I39" s="11"/>
      <c r="J39" s="11"/>
      <c r="K39" s="11"/>
      <c r="L39" s="16"/>
      <c r="M39" s="13"/>
      <c r="N39" s="11" t="str">
        <f aca="false">IF($A39="","",IFERROR(VLOOKUP($A39,Contenuti!$A:$K,3,FALSE()),""))</f>
        <v/>
      </c>
      <c r="O39" s="11" t="str">
        <f aca="false">IF($A39="","",IFERROR(VLOOKUP($A39,Contenuti!$A:$K,4,FALSE()),""))</f>
        <v/>
      </c>
      <c r="P39" s="11" t="str">
        <f aca="false">IF($A39="","",IFERROR(VLOOKUP($A39,Contenuti!$A:$K,6,FALSE()),""))</f>
        <v/>
      </c>
      <c r="Q39" s="11" t="str">
        <f aca="false">IF($A39="","",IFERROR(VLOOKUP($A39,Contenuti!$A:$K,7,FALSE()),""))</f>
        <v/>
      </c>
    </row>
    <row r="40" customFormat="false" ht="15" hidden="false" customHeight="false" outlineLevel="0" collapsed="false">
      <c r="A40" s="8"/>
      <c r="B40" s="8"/>
      <c r="C40" s="8"/>
      <c r="D40" s="8"/>
      <c r="E40" s="15"/>
      <c r="F40" s="15"/>
      <c r="G40" s="8"/>
      <c r="H40" s="8"/>
      <c r="I40" s="8"/>
      <c r="J40" s="8"/>
      <c r="K40" s="8"/>
      <c r="L40" s="15"/>
      <c r="M40" s="10"/>
      <c r="N40" s="11" t="str">
        <f aca="false">IF($A40="","",IFERROR(VLOOKUP($A40,Contenuti!$A:$K,3,FALSE()),""))</f>
        <v/>
      </c>
      <c r="O40" s="11" t="str">
        <f aca="false">IF($A40="","",IFERROR(VLOOKUP($A40,Contenuti!$A:$K,4,FALSE()),""))</f>
        <v/>
      </c>
      <c r="P40" s="11" t="str">
        <f aca="false">IF($A40="","",IFERROR(VLOOKUP($A40,Contenuti!$A:$K,6,FALSE()),""))</f>
        <v/>
      </c>
      <c r="Q40" s="11" t="str">
        <f aca="false">IF($A40="","",IFERROR(VLOOKUP($A40,Contenuti!$A:$K,7,FALSE()),""))</f>
        <v/>
      </c>
    </row>
    <row r="41" customFormat="false" ht="15" hidden="false" customHeight="false" outlineLevel="0" collapsed="false">
      <c r="A41" s="11"/>
      <c r="B41" s="11"/>
      <c r="C41" s="11"/>
      <c r="D41" s="11"/>
      <c r="E41" s="16"/>
      <c r="F41" s="16"/>
      <c r="G41" s="11"/>
      <c r="H41" s="11"/>
      <c r="I41" s="11"/>
      <c r="J41" s="11"/>
      <c r="K41" s="11"/>
      <c r="L41" s="16"/>
      <c r="M41" s="13"/>
      <c r="N41" s="11" t="str">
        <f aca="false">IF($A41="","",IFERROR(VLOOKUP($A41,Contenuti!$A:$K,3,FALSE()),""))</f>
        <v/>
      </c>
      <c r="O41" s="11" t="str">
        <f aca="false">IF($A41="","",IFERROR(VLOOKUP($A41,Contenuti!$A:$K,4,FALSE()),""))</f>
        <v/>
      </c>
      <c r="P41" s="11" t="str">
        <f aca="false">IF($A41="","",IFERROR(VLOOKUP($A41,Contenuti!$A:$K,6,FALSE()),""))</f>
        <v/>
      </c>
      <c r="Q41" s="11" t="str">
        <f aca="false">IF($A41="","",IFERROR(VLOOKUP($A41,Contenuti!$A:$K,7,FALSE()),""))</f>
        <v/>
      </c>
    </row>
    <row r="42" customFormat="false" ht="15" hidden="false" customHeight="false" outlineLevel="0" collapsed="false">
      <c r="A42" s="8"/>
      <c r="B42" s="8"/>
      <c r="C42" s="8"/>
      <c r="D42" s="8"/>
      <c r="E42" s="15"/>
      <c r="F42" s="15"/>
      <c r="G42" s="8"/>
      <c r="H42" s="8"/>
      <c r="I42" s="8"/>
      <c r="J42" s="8"/>
      <c r="K42" s="8"/>
      <c r="L42" s="15"/>
      <c r="M42" s="10"/>
      <c r="N42" s="11" t="str">
        <f aca="false">IF($A42="","",IFERROR(VLOOKUP($A42,Contenuti!$A:$K,3,FALSE()),""))</f>
        <v/>
      </c>
      <c r="O42" s="11" t="str">
        <f aca="false">IF($A42="","",IFERROR(VLOOKUP($A42,Contenuti!$A:$K,4,FALSE()),""))</f>
        <v/>
      </c>
      <c r="P42" s="11" t="str">
        <f aca="false">IF($A42="","",IFERROR(VLOOKUP($A42,Contenuti!$A:$K,6,FALSE()),""))</f>
        <v/>
      </c>
      <c r="Q42" s="11" t="str">
        <f aca="false">IF($A42="","",IFERROR(VLOOKUP($A42,Contenuti!$A:$K,7,FALSE()),""))</f>
        <v/>
      </c>
    </row>
    <row r="43" customFormat="false" ht="15" hidden="false" customHeight="false" outlineLevel="0" collapsed="false">
      <c r="A43" s="11"/>
      <c r="B43" s="11"/>
      <c r="C43" s="11"/>
      <c r="D43" s="11"/>
      <c r="E43" s="16"/>
      <c r="F43" s="16"/>
      <c r="G43" s="11"/>
      <c r="H43" s="11"/>
      <c r="I43" s="11"/>
      <c r="J43" s="11"/>
      <c r="K43" s="11"/>
      <c r="L43" s="16"/>
      <c r="M43" s="13"/>
      <c r="N43" s="11" t="str">
        <f aca="false">IF($A43="","",IFERROR(VLOOKUP($A43,Contenuti!$A:$K,3,FALSE()),""))</f>
        <v/>
      </c>
      <c r="O43" s="11" t="str">
        <f aca="false">IF($A43="","",IFERROR(VLOOKUP($A43,Contenuti!$A:$K,4,FALSE()),""))</f>
        <v/>
      </c>
      <c r="P43" s="11" t="str">
        <f aca="false">IF($A43="","",IFERROR(VLOOKUP($A43,Contenuti!$A:$K,6,FALSE()),""))</f>
        <v/>
      </c>
      <c r="Q43" s="11" t="str">
        <f aca="false">IF($A43="","",IFERROR(VLOOKUP($A43,Contenuti!$A:$K,7,FALSE()),""))</f>
        <v/>
      </c>
    </row>
    <row r="44" customFormat="false" ht="15" hidden="false" customHeight="false" outlineLevel="0" collapsed="false">
      <c r="A44" s="8"/>
      <c r="B44" s="8"/>
      <c r="C44" s="8"/>
      <c r="D44" s="8"/>
      <c r="E44" s="15"/>
      <c r="F44" s="15"/>
      <c r="G44" s="8"/>
      <c r="H44" s="8"/>
      <c r="I44" s="8"/>
      <c r="J44" s="8"/>
      <c r="K44" s="8"/>
      <c r="L44" s="15"/>
      <c r="M44" s="10"/>
      <c r="N44" s="11" t="str">
        <f aca="false">IF($A44="","",IFERROR(VLOOKUP($A44,Contenuti!$A:$K,3,FALSE()),""))</f>
        <v/>
      </c>
      <c r="O44" s="11" t="str">
        <f aca="false">IF($A44="","",IFERROR(VLOOKUP($A44,Contenuti!$A:$K,4,FALSE()),""))</f>
        <v/>
      </c>
      <c r="P44" s="11" t="str">
        <f aca="false">IF($A44="","",IFERROR(VLOOKUP($A44,Contenuti!$A:$K,6,FALSE()),""))</f>
        <v/>
      </c>
      <c r="Q44" s="11" t="str">
        <f aca="false">IF($A44="","",IFERROR(VLOOKUP($A44,Contenuti!$A:$K,7,FALSE()),""))</f>
        <v/>
      </c>
    </row>
    <row r="45" customFormat="false" ht="15" hidden="false" customHeight="false" outlineLevel="0" collapsed="false">
      <c r="A45" s="11"/>
      <c r="B45" s="11"/>
      <c r="C45" s="11"/>
      <c r="D45" s="11"/>
      <c r="E45" s="16"/>
      <c r="F45" s="16"/>
      <c r="G45" s="11"/>
      <c r="H45" s="11"/>
      <c r="I45" s="11"/>
      <c r="J45" s="11"/>
      <c r="K45" s="11"/>
      <c r="L45" s="16"/>
      <c r="M45" s="13"/>
      <c r="N45" s="11" t="str">
        <f aca="false">IF($A45="","",IFERROR(VLOOKUP($A45,Contenuti!$A:$K,3,FALSE()),""))</f>
        <v/>
      </c>
      <c r="O45" s="11" t="str">
        <f aca="false">IF($A45="","",IFERROR(VLOOKUP($A45,Contenuti!$A:$K,4,FALSE()),""))</f>
        <v/>
      </c>
      <c r="P45" s="11" t="str">
        <f aca="false">IF($A45="","",IFERROR(VLOOKUP($A45,Contenuti!$A:$K,6,FALSE()),""))</f>
        <v/>
      </c>
      <c r="Q45" s="11" t="str">
        <f aca="false">IF($A45="","",IFERROR(VLOOKUP($A45,Contenuti!$A:$K,7,FALSE()),""))</f>
        <v/>
      </c>
    </row>
    <row r="46" customFormat="false" ht="15" hidden="false" customHeight="false" outlineLevel="0" collapsed="false">
      <c r="A46" s="8"/>
      <c r="B46" s="8"/>
      <c r="C46" s="8"/>
      <c r="D46" s="8"/>
      <c r="E46" s="15"/>
      <c r="F46" s="15"/>
      <c r="G46" s="8"/>
      <c r="H46" s="8"/>
      <c r="I46" s="8"/>
      <c r="J46" s="8"/>
      <c r="K46" s="8"/>
      <c r="L46" s="15"/>
      <c r="M46" s="10"/>
      <c r="N46" s="11" t="str">
        <f aca="false">IF($A46="","",IFERROR(VLOOKUP($A46,Contenuti!$A:$K,3,FALSE()),""))</f>
        <v/>
      </c>
      <c r="O46" s="11" t="str">
        <f aca="false">IF($A46="","",IFERROR(VLOOKUP($A46,Contenuti!$A:$K,4,FALSE()),""))</f>
        <v/>
      </c>
      <c r="P46" s="11" t="str">
        <f aca="false">IF($A46="","",IFERROR(VLOOKUP($A46,Contenuti!$A:$K,6,FALSE()),""))</f>
        <v/>
      </c>
      <c r="Q46" s="11" t="str">
        <f aca="false">IF($A46="","",IFERROR(VLOOKUP($A46,Contenuti!$A:$K,7,FALSE()),""))</f>
        <v/>
      </c>
    </row>
    <row r="47" customFormat="false" ht="15" hidden="false" customHeight="false" outlineLevel="0" collapsed="false">
      <c r="A47" s="11"/>
      <c r="B47" s="11"/>
      <c r="C47" s="11"/>
      <c r="D47" s="11"/>
      <c r="E47" s="16"/>
      <c r="F47" s="16"/>
      <c r="G47" s="11"/>
      <c r="H47" s="11"/>
      <c r="I47" s="11"/>
      <c r="J47" s="11"/>
      <c r="K47" s="11"/>
      <c r="L47" s="16"/>
      <c r="M47" s="13"/>
      <c r="N47" s="11" t="str">
        <f aca="false">IF($A47="","",IFERROR(VLOOKUP($A47,Contenuti!$A:$K,3,FALSE()),""))</f>
        <v/>
      </c>
      <c r="O47" s="11" t="str">
        <f aca="false">IF($A47="","",IFERROR(VLOOKUP($A47,Contenuti!$A:$K,4,FALSE()),""))</f>
        <v/>
      </c>
      <c r="P47" s="11" t="str">
        <f aca="false">IF($A47="","",IFERROR(VLOOKUP($A47,Contenuti!$A:$K,6,FALSE()),""))</f>
        <v/>
      </c>
      <c r="Q47" s="11" t="str">
        <f aca="false">IF($A47="","",IFERROR(VLOOKUP($A47,Contenuti!$A:$K,7,FALSE()),""))</f>
        <v/>
      </c>
    </row>
    <row r="48" customFormat="false" ht="15" hidden="false" customHeight="false" outlineLevel="0" collapsed="false">
      <c r="A48" s="8"/>
      <c r="B48" s="8"/>
      <c r="C48" s="8"/>
      <c r="D48" s="8"/>
      <c r="E48" s="15"/>
      <c r="F48" s="15"/>
      <c r="G48" s="8"/>
      <c r="H48" s="8"/>
      <c r="I48" s="8"/>
      <c r="J48" s="8"/>
      <c r="K48" s="8"/>
      <c r="L48" s="15"/>
      <c r="M48" s="10"/>
      <c r="N48" s="11" t="str">
        <f aca="false">IF($A48="","",IFERROR(VLOOKUP($A48,Contenuti!$A:$K,3,FALSE()),""))</f>
        <v/>
      </c>
      <c r="O48" s="11" t="str">
        <f aca="false">IF($A48="","",IFERROR(VLOOKUP($A48,Contenuti!$A:$K,4,FALSE()),""))</f>
        <v/>
      </c>
      <c r="P48" s="11" t="str">
        <f aca="false">IF($A48="","",IFERROR(VLOOKUP($A48,Contenuti!$A:$K,6,FALSE()),""))</f>
        <v/>
      </c>
      <c r="Q48" s="11" t="str">
        <f aca="false">IF($A48="","",IFERROR(VLOOKUP($A48,Contenuti!$A:$K,7,FALSE()),""))</f>
        <v/>
      </c>
    </row>
    <row r="49" customFormat="false" ht="15" hidden="false" customHeight="false" outlineLevel="0" collapsed="false">
      <c r="A49" s="11"/>
      <c r="B49" s="11"/>
      <c r="C49" s="11"/>
      <c r="D49" s="11"/>
      <c r="E49" s="16"/>
      <c r="F49" s="16"/>
      <c r="G49" s="11"/>
      <c r="H49" s="11"/>
      <c r="I49" s="11"/>
      <c r="J49" s="11"/>
      <c r="K49" s="11"/>
      <c r="L49" s="16"/>
      <c r="M49" s="13"/>
      <c r="N49" s="11" t="str">
        <f aca="false">IF($A49="","",IFERROR(VLOOKUP($A49,Contenuti!$A:$K,3,FALSE()),""))</f>
        <v/>
      </c>
      <c r="O49" s="11" t="str">
        <f aca="false">IF($A49="","",IFERROR(VLOOKUP($A49,Contenuti!$A:$K,4,FALSE()),""))</f>
        <v/>
      </c>
      <c r="P49" s="11" t="str">
        <f aca="false">IF($A49="","",IFERROR(VLOOKUP($A49,Contenuti!$A:$K,6,FALSE()),""))</f>
        <v/>
      </c>
      <c r="Q49" s="11" t="str">
        <f aca="false">IF($A49="","",IFERROR(VLOOKUP($A49,Contenuti!$A:$K,7,FALSE()),""))</f>
        <v/>
      </c>
    </row>
    <row r="50" customFormat="false" ht="15" hidden="false" customHeight="false" outlineLevel="0" collapsed="false">
      <c r="A50" s="8"/>
      <c r="B50" s="8"/>
      <c r="C50" s="8"/>
      <c r="D50" s="8"/>
      <c r="E50" s="15"/>
      <c r="F50" s="15"/>
      <c r="G50" s="8"/>
      <c r="H50" s="8"/>
      <c r="I50" s="8"/>
      <c r="J50" s="8"/>
      <c r="K50" s="8"/>
      <c r="L50" s="15"/>
      <c r="M50" s="10"/>
      <c r="N50" s="11" t="str">
        <f aca="false">IF($A50="","",IFERROR(VLOOKUP($A50,Contenuti!$A:$K,3,FALSE()),""))</f>
        <v/>
      </c>
      <c r="O50" s="11" t="str">
        <f aca="false">IF($A50="","",IFERROR(VLOOKUP($A50,Contenuti!$A:$K,4,FALSE()),""))</f>
        <v/>
      </c>
      <c r="P50" s="11" t="str">
        <f aca="false">IF($A50="","",IFERROR(VLOOKUP($A50,Contenuti!$A:$K,6,FALSE()),""))</f>
        <v/>
      </c>
      <c r="Q50" s="11" t="str">
        <f aca="false">IF($A50="","",IFERROR(VLOOKUP($A50,Contenuti!$A:$K,7,FALSE()),""))</f>
        <v/>
      </c>
    </row>
    <row r="51" customFormat="false" ht="15" hidden="false" customHeight="false" outlineLevel="0" collapsed="false">
      <c r="A51" s="11"/>
      <c r="B51" s="11"/>
      <c r="C51" s="11"/>
      <c r="D51" s="11"/>
      <c r="E51" s="16"/>
      <c r="F51" s="16"/>
      <c r="G51" s="11"/>
      <c r="H51" s="11"/>
      <c r="I51" s="11"/>
      <c r="J51" s="11"/>
      <c r="K51" s="11"/>
      <c r="L51" s="16"/>
      <c r="M51" s="13"/>
      <c r="N51" s="11" t="str">
        <f aca="false">IF($A51="","",IFERROR(VLOOKUP($A51,Contenuti!$A:$K,3,FALSE()),""))</f>
        <v/>
      </c>
      <c r="O51" s="11" t="str">
        <f aca="false">IF($A51="","",IFERROR(VLOOKUP($A51,Contenuti!$A:$K,4,FALSE()),""))</f>
        <v/>
      </c>
      <c r="P51" s="11" t="str">
        <f aca="false">IF($A51="","",IFERROR(VLOOKUP($A51,Contenuti!$A:$K,6,FALSE()),""))</f>
        <v/>
      </c>
      <c r="Q51" s="11" t="str">
        <f aca="false">IF($A51="","",IFERROR(VLOOKUP($A51,Contenuti!$A:$K,7,FALSE()),""))</f>
        <v/>
      </c>
    </row>
    <row r="52" customFormat="false" ht="15" hidden="false" customHeight="false" outlineLevel="0" collapsed="false">
      <c r="A52" s="8"/>
      <c r="B52" s="8"/>
      <c r="C52" s="8"/>
      <c r="D52" s="8"/>
      <c r="E52" s="15"/>
      <c r="F52" s="15"/>
      <c r="G52" s="8"/>
      <c r="H52" s="8"/>
      <c r="I52" s="8"/>
      <c r="J52" s="8"/>
      <c r="K52" s="8"/>
      <c r="L52" s="15"/>
      <c r="M52" s="10"/>
      <c r="N52" s="11" t="str">
        <f aca="false">IF($A52="","",IFERROR(VLOOKUP($A52,Contenuti!$A:$K,3,FALSE()),""))</f>
        <v/>
      </c>
      <c r="O52" s="11" t="str">
        <f aca="false">IF($A52="","",IFERROR(VLOOKUP($A52,Contenuti!$A:$K,4,FALSE()),""))</f>
        <v/>
      </c>
      <c r="P52" s="11" t="str">
        <f aca="false">IF($A52="","",IFERROR(VLOOKUP($A52,Contenuti!$A:$K,6,FALSE()),""))</f>
        <v/>
      </c>
      <c r="Q52" s="11" t="str">
        <f aca="false">IF($A52="","",IFERROR(VLOOKUP($A52,Contenuti!$A:$K,7,FALSE()),""))</f>
        <v/>
      </c>
    </row>
    <row r="53" customFormat="false" ht="15" hidden="false" customHeight="false" outlineLevel="0" collapsed="false">
      <c r="A53" s="11"/>
      <c r="B53" s="11"/>
      <c r="C53" s="11"/>
      <c r="D53" s="11"/>
      <c r="E53" s="16"/>
      <c r="F53" s="16"/>
      <c r="G53" s="11"/>
      <c r="H53" s="11"/>
      <c r="I53" s="11"/>
      <c r="J53" s="11"/>
      <c r="K53" s="11"/>
      <c r="L53" s="16"/>
      <c r="M53" s="13"/>
      <c r="N53" s="11" t="str">
        <f aca="false">IF($A53="","",IFERROR(VLOOKUP($A53,Contenuti!$A:$K,3,FALSE()),""))</f>
        <v/>
      </c>
      <c r="O53" s="11" t="str">
        <f aca="false">IF($A53="","",IFERROR(VLOOKUP($A53,Contenuti!$A:$K,4,FALSE()),""))</f>
        <v/>
      </c>
      <c r="P53" s="11" t="str">
        <f aca="false">IF($A53="","",IFERROR(VLOOKUP($A53,Contenuti!$A:$K,6,FALSE()),""))</f>
        <v/>
      </c>
      <c r="Q53" s="11" t="str">
        <f aca="false">IF($A53="","",IFERROR(VLOOKUP($A53,Contenuti!$A:$K,7,FALSE()),""))</f>
        <v/>
      </c>
    </row>
    <row r="54" customFormat="false" ht="15" hidden="false" customHeight="false" outlineLevel="0" collapsed="false">
      <c r="A54" s="8"/>
      <c r="B54" s="8"/>
      <c r="C54" s="8"/>
      <c r="D54" s="8"/>
      <c r="E54" s="15"/>
      <c r="F54" s="15"/>
      <c r="G54" s="8"/>
      <c r="H54" s="8"/>
      <c r="I54" s="8"/>
      <c r="J54" s="8"/>
      <c r="K54" s="8"/>
      <c r="L54" s="15"/>
      <c r="M54" s="10"/>
      <c r="N54" s="11" t="str">
        <f aca="false">IF($A54="","",IFERROR(VLOOKUP($A54,Contenuti!$A:$K,3,FALSE()),""))</f>
        <v/>
      </c>
      <c r="O54" s="11" t="str">
        <f aca="false">IF($A54="","",IFERROR(VLOOKUP($A54,Contenuti!$A:$K,4,FALSE()),""))</f>
        <v/>
      </c>
      <c r="P54" s="11" t="str">
        <f aca="false">IF($A54="","",IFERROR(VLOOKUP($A54,Contenuti!$A:$K,6,FALSE()),""))</f>
        <v/>
      </c>
      <c r="Q54" s="11" t="str">
        <f aca="false">IF($A54="","",IFERROR(VLOOKUP($A54,Contenuti!$A:$K,7,FALSE()),""))</f>
        <v/>
      </c>
    </row>
    <row r="55" customFormat="false" ht="15" hidden="false" customHeight="false" outlineLevel="0" collapsed="false">
      <c r="A55" s="11"/>
      <c r="B55" s="11"/>
      <c r="C55" s="11"/>
      <c r="D55" s="11"/>
      <c r="E55" s="16"/>
      <c r="F55" s="16"/>
      <c r="G55" s="11"/>
      <c r="H55" s="11"/>
      <c r="I55" s="11"/>
      <c r="J55" s="11"/>
      <c r="K55" s="11"/>
      <c r="L55" s="16"/>
      <c r="M55" s="13"/>
      <c r="N55" s="11" t="str">
        <f aca="false">IF($A55="","",IFERROR(VLOOKUP($A55,Contenuti!$A:$K,3,FALSE()),""))</f>
        <v/>
      </c>
      <c r="O55" s="11" t="str">
        <f aca="false">IF($A55="","",IFERROR(VLOOKUP($A55,Contenuti!$A:$K,4,FALSE()),""))</f>
        <v/>
      </c>
      <c r="P55" s="11" t="str">
        <f aca="false">IF($A55="","",IFERROR(VLOOKUP($A55,Contenuti!$A:$K,6,FALSE()),""))</f>
        <v/>
      </c>
      <c r="Q55" s="11" t="str">
        <f aca="false">IF($A55="","",IFERROR(VLOOKUP($A55,Contenuti!$A:$K,7,FALSE()),""))</f>
        <v/>
      </c>
    </row>
    <row r="56" customFormat="false" ht="15" hidden="false" customHeight="false" outlineLevel="0" collapsed="false">
      <c r="A56" s="8"/>
      <c r="B56" s="8"/>
      <c r="C56" s="8"/>
      <c r="D56" s="8"/>
      <c r="E56" s="15"/>
      <c r="F56" s="15"/>
      <c r="G56" s="8"/>
      <c r="H56" s="8"/>
      <c r="I56" s="8"/>
      <c r="J56" s="8"/>
      <c r="K56" s="8"/>
      <c r="L56" s="15"/>
      <c r="M56" s="10"/>
      <c r="N56" s="11" t="str">
        <f aca="false">IF($A56="","",IFERROR(VLOOKUP($A56,Contenuti!$A:$K,3,FALSE()),""))</f>
        <v/>
      </c>
      <c r="O56" s="11" t="str">
        <f aca="false">IF($A56="","",IFERROR(VLOOKUP($A56,Contenuti!$A:$K,4,FALSE()),""))</f>
        <v/>
      </c>
      <c r="P56" s="11" t="str">
        <f aca="false">IF($A56="","",IFERROR(VLOOKUP($A56,Contenuti!$A:$K,6,FALSE()),""))</f>
        <v/>
      </c>
      <c r="Q56" s="11" t="str">
        <f aca="false">IF($A56="","",IFERROR(VLOOKUP($A56,Contenuti!$A:$K,7,FALSE()),""))</f>
        <v/>
      </c>
    </row>
    <row r="57" customFormat="false" ht="15" hidden="false" customHeight="false" outlineLevel="0" collapsed="false">
      <c r="A57" s="11"/>
      <c r="B57" s="11"/>
      <c r="C57" s="11"/>
      <c r="D57" s="11"/>
      <c r="E57" s="16"/>
      <c r="F57" s="16"/>
      <c r="G57" s="11"/>
      <c r="H57" s="11"/>
      <c r="I57" s="11"/>
      <c r="J57" s="11"/>
      <c r="K57" s="11"/>
      <c r="L57" s="16"/>
      <c r="M57" s="13"/>
      <c r="N57" s="11" t="str">
        <f aca="false">IF($A57="","",IFERROR(VLOOKUP($A57,Contenuti!$A:$K,3,FALSE()),""))</f>
        <v/>
      </c>
      <c r="O57" s="11" t="str">
        <f aca="false">IF($A57="","",IFERROR(VLOOKUP($A57,Contenuti!$A:$K,4,FALSE()),""))</f>
        <v/>
      </c>
      <c r="P57" s="11" t="str">
        <f aca="false">IF($A57="","",IFERROR(VLOOKUP($A57,Contenuti!$A:$K,6,FALSE()),""))</f>
        <v/>
      </c>
      <c r="Q57" s="11" t="str">
        <f aca="false">IF($A57="","",IFERROR(VLOOKUP($A57,Contenuti!$A:$K,7,FALSE()),""))</f>
        <v/>
      </c>
    </row>
    <row r="58" customFormat="false" ht="15" hidden="false" customHeight="false" outlineLevel="0" collapsed="false">
      <c r="A58" s="8"/>
      <c r="B58" s="8"/>
      <c r="C58" s="8"/>
      <c r="D58" s="8"/>
      <c r="E58" s="15"/>
      <c r="F58" s="15"/>
      <c r="G58" s="8"/>
      <c r="H58" s="8"/>
      <c r="I58" s="8"/>
      <c r="J58" s="8"/>
      <c r="K58" s="8"/>
      <c r="L58" s="15"/>
      <c r="M58" s="10"/>
      <c r="N58" s="11" t="str">
        <f aca="false">IF($A58="","",IFERROR(VLOOKUP($A58,Contenuti!$A:$K,3,FALSE()),""))</f>
        <v/>
      </c>
      <c r="O58" s="11" t="str">
        <f aca="false">IF($A58="","",IFERROR(VLOOKUP($A58,Contenuti!$A:$K,4,FALSE()),""))</f>
        <v/>
      </c>
      <c r="P58" s="11" t="str">
        <f aca="false">IF($A58="","",IFERROR(VLOOKUP($A58,Contenuti!$A:$K,6,FALSE()),""))</f>
        <v/>
      </c>
      <c r="Q58" s="11" t="str">
        <f aca="false">IF($A58="","",IFERROR(VLOOKUP($A58,Contenuti!$A:$K,7,FALSE()),""))</f>
        <v/>
      </c>
    </row>
    <row r="59" customFormat="false" ht="15" hidden="false" customHeight="false" outlineLevel="0" collapsed="false">
      <c r="A59" s="11"/>
      <c r="B59" s="11"/>
      <c r="C59" s="11"/>
      <c r="D59" s="11"/>
      <c r="E59" s="16"/>
      <c r="F59" s="16"/>
      <c r="G59" s="11"/>
      <c r="H59" s="11"/>
      <c r="I59" s="11"/>
      <c r="J59" s="11"/>
      <c r="K59" s="11"/>
      <c r="L59" s="16"/>
      <c r="M59" s="13"/>
      <c r="N59" s="11" t="str">
        <f aca="false">IF($A59="","",IFERROR(VLOOKUP($A59,Contenuti!$A:$K,3,FALSE()),""))</f>
        <v/>
      </c>
      <c r="O59" s="11" t="str">
        <f aca="false">IF($A59="","",IFERROR(VLOOKUP($A59,Contenuti!$A:$K,4,FALSE()),""))</f>
        <v/>
      </c>
      <c r="P59" s="11" t="str">
        <f aca="false">IF($A59="","",IFERROR(VLOOKUP($A59,Contenuti!$A:$K,6,FALSE()),""))</f>
        <v/>
      </c>
      <c r="Q59" s="11" t="str">
        <f aca="false">IF($A59="","",IFERROR(VLOOKUP($A59,Contenuti!$A:$K,7,FALSE()),""))</f>
        <v/>
      </c>
    </row>
    <row r="60" customFormat="false" ht="15" hidden="false" customHeight="false" outlineLevel="0" collapsed="false">
      <c r="A60" s="8"/>
      <c r="B60" s="8"/>
      <c r="C60" s="8"/>
      <c r="D60" s="8"/>
      <c r="E60" s="15"/>
      <c r="F60" s="15"/>
      <c r="G60" s="8"/>
      <c r="H60" s="8"/>
      <c r="I60" s="8"/>
      <c r="J60" s="8"/>
      <c r="K60" s="8"/>
      <c r="L60" s="15"/>
      <c r="M60" s="10"/>
      <c r="N60" s="11" t="str">
        <f aca="false">IF($A60="","",IFERROR(VLOOKUP($A60,Contenuti!$A:$K,3,FALSE()),""))</f>
        <v/>
      </c>
      <c r="O60" s="11" t="str">
        <f aca="false">IF($A60="","",IFERROR(VLOOKUP($A60,Contenuti!$A:$K,4,FALSE()),""))</f>
        <v/>
      </c>
      <c r="P60" s="11" t="str">
        <f aca="false">IF($A60="","",IFERROR(VLOOKUP($A60,Contenuti!$A:$K,6,FALSE()),""))</f>
        <v/>
      </c>
      <c r="Q60" s="11" t="str">
        <f aca="false">IF($A60="","",IFERROR(VLOOKUP($A60,Contenuti!$A:$K,7,FALSE()),""))</f>
        <v/>
      </c>
    </row>
    <row r="61" customFormat="false" ht="15" hidden="false" customHeight="false" outlineLevel="0" collapsed="false">
      <c r="A61" s="11"/>
      <c r="B61" s="11"/>
      <c r="C61" s="11"/>
      <c r="D61" s="11"/>
      <c r="E61" s="16"/>
      <c r="F61" s="16"/>
      <c r="G61" s="11"/>
      <c r="H61" s="11"/>
      <c r="I61" s="11"/>
      <c r="J61" s="11"/>
      <c r="K61" s="11"/>
      <c r="L61" s="16"/>
      <c r="M61" s="13"/>
      <c r="N61" s="11" t="str">
        <f aca="false">IF($A61="","",IFERROR(VLOOKUP($A61,Contenuti!$A:$K,3,FALSE()),""))</f>
        <v/>
      </c>
      <c r="O61" s="11" t="str">
        <f aca="false">IF($A61="","",IFERROR(VLOOKUP($A61,Contenuti!$A:$K,4,FALSE()),""))</f>
        <v/>
      </c>
      <c r="P61" s="11" t="str">
        <f aca="false">IF($A61="","",IFERROR(VLOOKUP($A61,Contenuti!$A:$K,6,FALSE()),""))</f>
        <v/>
      </c>
      <c r="Q61" s="11" t="str">
        <f aca="false">IF($A61="","",IFERROR(VLOOKUP($A61,Contenuti!$A:$K,7,FALSE()),""))</f>
        <v/>
      </c>
    </row>
    <row r="62" customFormat="false" ht="15" hidden="false" customHeight="false" outlineLevel="0" collapsed="false">
      <c r="A62" s="8"/>
      <c r="B62" s="8"/>
      <c r="C62" s="8"/>
      <c r="D62" s="8"/>
      <c r="E62" s="15"/>
      <c r="F62" s="15"/>
      <c r="G62" s="8"/>
      <c r="H62" s="8"/>
      <c r="I62" s="8"/>
      <c r="J62" s="8"/>
      <c r="K62" s="8"/>
      <c r="L62" s="15"/>
      <c r="M62" s="10"/>
      <c r="N62" s="11" t="str">
        <f aca="false">IF($A62="","",IFERROR(VLOOKUP($A62,Contenuti!$A:$K,3,FALSE()),""))</f>
        <v/>
      </c>
      <c r="O62" s="11" t="str">
        <f aca="false">IF($A62="","",IFERROR(VLOOKUP($A62,Contenuti!$A:$K,4,FALSE()),""))</f>
        <v/>
      </c>
      <c r="P62" s="11" t="str">
        <f aca="false">IF($A62="","",IFERROR(VLOOKUP($A62,Contenuti!$A:$K,6,FALSE()),""))</f>
        <v/>
      </c>
      <c r="Q62" s="11" t="str">
        <f aca="false">IF($A62="","",IFERROR(VLOOKUP($A62,Contenuti!$A:$K,7,FALSE()),""))</f>
        <v/>
      </c>
    </row>
    <row r="63" customFormat="false" ht="15" hidden="false" customHeight="false" outlineLevel="0" collapsed="false">
      <c r="A63" s="11"/>
      <c r="B63" s="11"/>
      <c r="C63" s="11"/>
      <c r="D63" s="11"/>
      <c r="E63" s="16"/>
      <c r="F63" s="16"/>
      <c r="G63" s="11"/>
      <c r="H63" s="11"/>
      <c r="I63" s="11"/>
      <c r="J63" s="11"/>
      <c r="K63" s="11"/>
      <c r="L63" s="16"/>
      <c r="M63" s="13"/>
      <c r="N63" s="11" t="str">
        <f aca="false">IF($A63="","",IFERROR(VLOOKUP($A63,Contenuti!$A:$K,3,FALSE()),""))</f>
        <v/>
      </c>
      <c r="O63" s="11" t="str">
        <f aca="false">IF($A63="","",IFERROR(VLOOKUP($A63,Contenuti!$A:$K,4,FALSE()),""))</f>
        <v/>
      </c>
      <c r="P63" s="11" t="str">
        <f aca="false">IF($A63="","",IFERROR(VLOOKUP($A63,Contenuti!$A:$K,6,FALSE()),""))</f>
        <v/>
      </c>
      <c r="Q63" s="11" t="str">
        <f aca="false">IF($A63="","",IFERROR(VLOOKUP($A63,Contenuti!$A:$K,7,FALSE()),""))</f>
        <v/>
      </c>
    </row>
    <row r="64" customFormat="false" ht="15" hidden="false" customHeight="false" outlineLevel="0" collapsed="false">
      <c r="A64" s="8"/>
      <c r="B64" s="8"/>
      <c r="C64" s="8"/>
      <c r="D64" s="8"/>
      <c r="E64" s="15"/>
      <c r="F64" s="15"/>
      <c r="G64" s="8"/>
      <c r="H64" s="8"/>
      <c r="I64" s="8"/>
      <c r="J64" s="8"/>
      <c r="K64" s="8"/>
      <c r="L64" s="15"/>
      <c r="M64" s="10"/>
      <c r="N64" s="11" t="str">
        <f aca="false">IF($A64="","",IFERROR(VLOOKUP($A64,Contenuti!$A:$K,3,FALSE()),""))</f>
        <v/>
      </c>
      <c r="O64" s="11" t="str">
        <f aca="false">IF($A64="","",IFERROR(VLOOKUP($A64,Contenuti!$A:$K,4,FALSE()),""))</f>
        <v/>
      </c>
      <c r="P64" s="11" t="str">
        <f aca="false">IF($A64="","",IFERROR(VLOOKUP($A64,Contenuti!$A:$K,6,FALSE()),""))</f>
        <v/>
      </c>
      <c r="Q64" s="11" t="str">
        <f aca="false">IF($A64="","",IFERROR(VLOOKUP($A64,Contenuti!$A:$K,7,FALSE()),""))</f>
        <v/>
      </c>
    </row>
    <row r="65" customFormat="false" ht="15" hidden="false" customHeight="false" outlineLevel="0" collapsed="false">
      <c r="A65" s="11"/>
      <c r="B65" s="11"/>
      <c r="C65" s="11"/>
      <c r="D65" s="11"/>
      <c r="E65" s="16"/>
      <c r="F65" s="16"/>
      <c r="G65" s="11"/>
      <c r="H65" s="11"/>
      <c r="I65" s="11"/>
      <c r="J65" s="11"/>
      <c r="K65" s="11"/>
      <c r="L65" s="16"/>
      <c r="M65" s="13"/>
      <c r="N65" s="11" t="str">
        <f aca="false">IF($A65="","",IFERROR(VLOOKUP($A65,Contenuti!$A:$K,3,FALSE()),""))</f>
        <v/>
      </c>
      <c r="O65" s="11" t="str">
        <f aca="false">IF($A65="","",IFERROR(VLOOKUP($A65,Contenuti!$A:$K,4,FALSE()),""))</f>
        <v/>
      </c>
      <c r="P65" s="11" t="str">
        <f aca="false">IF($A65="","",IFERROR(VLOOKUP($A65,Contenuti!$A:$K,6,FALSE()),""))</f>
        <v/>
      </c>
      <c r="Q65" s="11" t="str">
        <f aca="false">IF($A65="","",IFERROR(VLOOKUP($A65,Contenuti!$A:$K,7,FALSE()),""))</f>
        <v/>
      </c>
    </row>
    <row r="66" customFormat="false" ht="15" hidden="false" customHeight="false" outlineLevel="0" collapsed="false">
      <c r="A66" s="8"/>
      <c r="B66" s="8"/>
      <c r="C66" s="8"/>
      <c r="D66" s="8"/>
      <c r="E66" s="15"/>
      <c r="F66" s="15"/>
      <c r="G66" s="8"/>
      <c r="H66" s="8"/>
      <c r="I66" s="8"/>
      <c r="J66" s="8"/>
      <c r="K66" s="8"/>
      <c r="L66" s="15"/>
      <c r="M66" s="10"/>
      <c r="N66" s="11" t="str">
        <f aca="false">IF($A66="","",IFERROR(VLOOKUP($A66,Contenuti!$A:$K,3,FALSE()),""))</f>
        <v/>
      </c>
      <c r="O66" s="11" t="str">
        <f aca="false">IF($A66="","",IFERROR(VLOOKUP($A66,Contenuti!$A:$K,4,FALSE()),""))</f>
        <v/>
      </c>
      <c r="P66" s="11" t="str">
        <f aca="false">IF($A66="","",IFERROR(VLOOKUP($A66,Contenuti!$A:$K,6,FALSE()),""))</f>
        <v/>
      </c>
      <c r="Q66" s="11" t="str">
        <f aca="false">IF($A66="","",IFERROR(VLOOKUP($A66,Contenuti!$A:$K,7,FALSE()),""))</f>
        <v/>
      </c>
    </row>
    <row r="67" customFormat="false" ht="15" hidden="false" customHeight="false" outlineLevel="0" collapsed="false">
      <c r="A67" s="11"/>
      <c r="B67" s="11"/>
      <c r="C67" s="11"/>
      <c r="D67" s="11"/>
      <c r="E67" s="16"/>
      <c r="F67" s="16"/>
      <c r="G67" s="11"/>
      <c r="H67" s="11"/>
      <c r="I67" s="11"/>
      <c r="J67" s="11"/>
      <c r="K67" s="11"/>
      <c r="L67" s="16"/>
      <c r="M67" s="13"/>
      <c r="N67" s="11" t="str">
        <f aca="false">IF($A67="","",IFERROR(VLOOKUP($A67,Contenuti!$A:$K,3,FALSE()),""))</f>
        <v/>
      </c>
      <c r="O67" s="11" t="str">
        <f aca="false">IF($A67="","",IFERROR(VLOOKUP($A67,Contenuti!$A:$K,4,FALSE()),""))</f>
        <v/>
      </c>
      <c r="P67" s="11" t="str">
        <f aca="false">IF($A67="","",IFERROR(VLOOKUP($A67,Contenuti!$A:$K,6,FALSE()),""))</f>
        <v/>
      </c>
      <c r="Q67" s="11" t="str">
        <f aca="false">IF($A67="","",IFERROR(VLOOKUP($A67,Contenuti!$A:$K,7,FALSE()),""))</f>
        <v/>
      </c>
    </row>
    <row r="68" customFormat="false" ht="15" hidden="false" customHeight="false" outlineLevel="0" collapsed="false">
      <c r="A68" s="8"/>
      <c r="B68" s="8"/>
      <c r="C68" s="8"/>
      <c r="D68" s="8"/>
      <c r="E68" s="15"/>
      <c r="F68" s="15"/>
      <c r="G68" s="8"/>
      <c r="H68" s="8"/>
      <c r="I68" s="8"/>
      <c r="J68" s="8"/>
      <c r="K68" s="8"/>
      <c r="L68" s="15"/>
      <c r="M68" s="10"/>
      <c r="N68" s="11" t="str">
        <f aca="false">IF($A68="","",IFERROR(VLOOKUP($A68,Contenuti!$A:$K,3,FALSE()),""))</f>
        <v/>
      </c>
      <c r="O68" s="11" t="str">
        <f aca="false">IF($A68="","",IFERROR(VLOOKUP($A68,Contenuti!$A:$K,4,FALSE()),""))</f>
        <v/>
      </c>
      <c r="P68" s="11" t="str">
        <f aca="false">IF($A68="","",IFERROR(VLOOKUP($A68,Contenuti!$A:$K,6,FALSE()),""))</f>
        <v/>
      </c>
      <c r="Q68" s="11" t="str">
        <f aca="false">IF($A68="","",IFERROR(VLOOKUP($A68,Contenuti!$A:$K,7,FALSE()),""))</f>
        <v/>
      </c>
    </row>
    <row r="69" customFormat="false" ht="15" hidden="false" customHeight="false" outlineLevel="0" collapsed="false">
      <c r="A69" s="11"/>
      <c r="B69" s="11"/>
      <c r="C69" s="11"/>
      <c r="D69" s="11"/>
      <c r="E69" s="16"/>
      <c r="F69" s="16"/>
      <c r="G69" s="11"/>
      <c r="H69" s="11"/>
      <c r="I69" s="11"/>
      <c r="J69" s="11"/>
      <c r="K69" s="11"/>
      <c r="L69" s="16"/>
      <c r="M69" s="13"/>
      <c r="N69" s="11" t="str">
        <f aca="false">IF($A69="","",IFERROR(VLOOKUP($A69,Contenuti!$A:$K,3,FALSE()),""))</f>
        <v/>
      </c>
      <c r="O69" s="11" t="str">
        <f aca="false">IF($A69="","",IFERROR(VLOOKUP($A69,Contenuti!$A:$K,4,FALSE()),""))</f>
        <v/>
      </c>
      <c r="P69" s="11" t="str">
        <f aca="false">IF($A69="","",IFERROR(VLOOKUP($A69,Contenuti!$A:$K,6,FALSE()),""))</f>
        <v/>
      </c>
      <c r="Q69" s="11" t="str">
        <f aca="false">IF($A69="","",IFERROR(VLOOKUP($A69,Contenuti!$A:$K,7,FALSE()),""))</f>
        <v/>
      </c>
    </row>
    <row r="70" customFormat="false" ht="15" hidden="false" customHeight="false" outlineLevel="0" collapsed="false">
      <c r="A70" s="8"/>
      <c r="B70" s="8"/>
      <c r="C70" s="8"/>
      <c r="D70" s="8"/>
      <c r="E70" s="15"/>
      <c r="F70" s="15"/>
      <c r="G70" s="8"/>
      <c r="H70" s="8"/>
      <c r="I70" s="8"/>
      <c r="J70" s="8"/>
      <c r="K70" s="8"/>
      <c r="L70" s="15"/>
      <c r="M70" s="10"/>
      <c r="N70" s="11" t="str">
        <f aca="false">IF($A70="","",IFERROR(VLOOKUP($A70,Contenuti!$A:$K,3,FALSE()),""))</f>
        <v/>
      </c>
      <c r="O70" s="11" t="str">
        <f aca="false">IF($A70="","",IFERROR(VLOOKUP($A70,Contenuti!$A:$K,4,FALSE()),""))</f>
        <v/>
      </c>
      <c r="P70" s="11" t="str">
        <f aca="false">IF($A70="","",IFERROR(VLOOKUP($A70,Contenuti!$A:$K,6,FALSE()),""))</f>
        <v/>
      </c>
      <c r="Q70" s="11" t="str">
        <f aca="false">IF($A70="","",IFERROR(VLOOKUP($A70,Contenuti!$A:$K,7,FALSE()),""))</f>
        <v/>
      </c>
    </row>
    <row r="71" customFormat="false" ht="15" hidden="false" customHeight="false" outlineLevel="0" collapsed="false">
      <c r="A71" s="11"/>
      <c r="B71" s="11"/>
      <c r="C71" s="11"/>
      <c r="D71" s="11"/>
      <c r="E71" s="16"/>
      <c r="F71" s="16"/>
      <c r="G71" s="11"/>
      <c r="H71" s="11"/>
      <c r="I71" s="11"/>
      <c r="J71" s="11"/>
      <c r="K71" s="11"/>
      <c r="L71" s="16"/>
      <c r="M71" s="13"/>
      <c r="N71" s="11" t="str">
        <f aca="false">IF($A71="","",IFERROR(VLOOKUP($A71,Contenuti!$A:$K,3,FALSE()),""))</f>
        <v/>
      </c>
      <c r="O71" s="11" t="str">
        <f aca="false">IF($A71="","",IFERROR(VLOOKUP($A71,Contenuti!$A:$K,4,FALSE()),""))</f>
        <v/>
      </c>
      <c r="P71" s="11" t="str">
        <f aca="false">IF($A71="","",IFERROR(VLOOKUP($A71,Contenuti!$A:$K,6,FALSE()),""))</f>
        <v/>
      </c>
      <c r="Q71" s="11" t="str">
        <f aca="false">IF($A71="","",IFERROR(VLOOKUP($A71,Contenuti!$A:$K,7,FALSE()),""))</f>
        <v/>
      </c>
    </row>
    <row r="72" customFormat="false" ht="15" hidden="false" customHeight="false" outlineLevel="0" collapsed="false">
      <c r="A72" s="8"/>
      <c r="B72" s="8"/>
      <c r="C72" s="8"/>
      <c r="D72" s="8"/>
      <c r="E72" s="15"/>
      <c r="F72" s="15"/>
      <c r="G72" s="8"/>
      <c r="H72" s="8"/>
      <c r="I72" s="8"/>
      <c r="J72" s="8"/>
      <c r="K72" s="8"/>
      <c r="L72" s="15"/>
      <c r="M72" s="10"/>
      <c r="N72" s="11" t="str">
        <f aca="false">IF($A72="","",IFERROR(VLOOKUP($A72,Contenuti!$A:$K,3,FALSE()),""))</f>
        <v/>
      </c>
      <c r="O72" s="11" t="str">
        <f aca="false">IF($A72="","",IFERROR(VLOOKUP($A72,Contenuti!$A:$K,4,FALSE()),""))</f>
        <v/>
      </c>
      <c r="P72" s="11" t="str">
        <f aca="false">IF($A72="","",IFERROR(VLOOKUP($A72,Contenuti!$A:$K,6,FALSE()),""))</f>
        <v/>
      </c>
      <c r="Q72" s="11" t="str">
        <f aca="false">IF($A72="","",IFERROR(VLOOKUP($A72,Contenuti!$A:$K,7,FALSE()),""))</f>
        <v/>
      </c>
    </row>
    <row r="73" customFormat="false" ht="15" hidden="false" customHeight="false" outlineLevel="0" collapsed="false">
      <c r="A73" s="11"/>
      <c r="B73" s="11"/>
      <c r="C73" s="11"/>
      <c r="D73" s="11"/>
      <c r="E73" s="16"/>
      <c r="F73" s="16"/>
      <c r="G73" s="11"/>
      <c r="H73" s="11"/>
      <c r="I73" s="11"/>
      <c r="J73" s="11"/>
      <c r="K73" s="11"/>
      <c r="L73" s="16"/>
      <c r="M73" s="13"/>
      <c r="N73" s="11" t="str">
        <f aca="false">IF($A73="","",IFERROR(VLOOKUP($A73,Contenuti!$A:$K,3,FALSE()),""))</f>
        <v/>
      </c>
      <c r="O73" s="11" t="str">
        <f aca="false">IF($A73="","",IFERROR(VLOOKUP($A73,Contenuti!$A:$K,4,FALSE()),""))</f>
        <v/>
      </c>
      <c r="P73" s="11" t="str">
        <f aca="false">IF($A73="","",IFERROR(VLOOKUP($A73,Contenuti!$A:$K,6,FALSE()),""))</f>
        <v/>
      </c>
      <c r="Q73" s="11" t="str">
        <f aca="false">IF($A73="","",IFERROR(VLOOKUP($A73,Contenuti!$A:$K,7,FALSE()),""))</f>
        <v/>
      </c>
    </row>
    <row r="74" customFormat="false" ht="15" hidden="false" customHeight="false" outlineLevel="0" collapsed="false">
      <c r="A74" s="8"/>
      <c r="B74" s="8"/>
      <c r="C74" s="8"/>
      <c r="D74" s="8"/>
      <c r="E74" s="15"/>
      <c r="F74" s="15"/>
      <c r="G74" s="8"/>
      <c r="H74" s="8"/>
      <c r="I74" s="8"/>
      <c r="J74" s="8"/>
      <c r="K74" s="8"/>
      <c r="L74" s="15"/>
      <c r="M74" s="10"/>
      <c r="N74" s="11" t="str">
        <f aca="false">IF($A74="","",IFERROR(VLOOKUP($A74,Contenuti!$A:$K,3,FALSE()),""))</f>
        <v/>
      </c>
      <c r="O74" s="11" t="str">
        <f aca="false">IF($A74="","",IFERROR(VLOOKUP($A74,Contenuti!$A:$K,4,FALSE()),""))</f>
        <v/>
      </c>
      <c r="P74" s="11" t="str">
        <f aca="false">IF($A74="","",IFERROR(VLOOKUP($A74,Contenuti!$A:$K,6,FALSE()),""))</f>
        <v/>
      </c>
      <c r="Q74" s="11" t="str">
        <f aca="false">IF($A74="","",IFERROR(VLOOKUP($A74,Contenuti!$A:$K,7,FALSE()),""))</f>
        <v/>
      </c>
    </row>
    <row r="75" customFormat="false" ht="15" hidden="false" customHeight="false" outlineLevel="0" collapsed="false">
      <c r="A75" s="11"/>
      <c r="B75" s="11"/>
      <c r="C75" s="11"/>
      <c r="D75" s="11"/>
      <c r="E75" s="16"/>
      <c r="F75" s="16"/>
      <c r="G75" s="11"/>
      <c r="H75" s="11"/>
      <c r="I75" s="11"/>
      <c r="J75" s="11"/>
      <c r="K75" s="11"/>
      <c r="L75" s="16"/>
      <c r="M75" s="13"/>
      <c r="N75" s="11" t="str">
        <f aca="false">IF($A75="","",IFERROR(VLOOKUP($A75,Contenuti!$A:$K,3,FALSE()),""))</f>
        <v/>
      </c>
      <c r="O75" s="11" t="str">
        <f aca="false">IF($A75="","",IFERROR(VLOOKUP($A75,Contenuti!$A:$K,4,FALSE()),""))</f>
        <v/>
      </c>
      <c r="P75" s="11" t="str">
        <f aca="false">IF($A75="","",IFERROR(VLOOKUP($A75,Contenuti!$A:$K,6,FALSE()),""))</f>
        <v/>
      </c>
      <c r="Q75" s="11" t="str">
        <f aca="false">IF($A75="","",IFERROR(VLOOKUP($A75,Contenuti!$A:$K,7,FALSE()),""))</f>
        <v/>
      </c>
    </row>
    <row r="76" customFormat="false" ht="15" hidden="false" customHeight="false" outlineLevel="0" collapsed="false">
      <c r="A76" s="8"/>
      <c r="B76" s="8"/>
      <c r="C76" s="8"/>
      <c r="D76" s="8"/>
      <c r="E76" s="15"/>
      <c r="F76" s="15"/>
      <c r="G76" s="8"/>
      <c r="H76" s="8"/>
      <c r="I76" s="8"/>
      <c r="J76" s="8"/>
      <c r="K76" s="8"/>
      <c r="L76" s="15"/>
      <c r="M76" s="10"/>
      <c r="N76" s="11" t="str">
        <f aca="false">IF($A76="","",IFERROR(VLOOKUP($A76,Contenuti!$A:$K,3,FALSE()),""))</f>
        <v/>
      </c>
      <c r="O76" s="11" t="str">
        <f aca="false">IF($A76="","",IFERROR(VLOOKUP($A76,Contenuti!$A:$K,4,FALSE()),""))</f>
        <v/>
      </c>
      <c r="P76" s="11" t="str">
        <f aca="false">IF($A76="","",IFERROR(VLOOKUP($A76,Contenuti!$A:$K,6,FALSE()),""))</f>
        <v/>
      </c>
      <c r="Q76" s="11" t="str">
        <f aca="false">IF($A76="","",IFERROR(VLOOKUP($A76,Contenuti!$A:$K,7,FALSE()),""))</f>
        <v/>
      </c>
    </row>
    <row r="77" customFormat="false" ht="15" hidden="false" customHeight="false" outlineLevel="0" collapsed="false">
      <c r="A77" s="11"/>
      <c r="B77" s="11"/>
      <c r="C77" s="11"/>
      <c r="D77" s="11"/>
      <c r="E77" s="16"/>
      <c r="F77" s="16"/>
      <c r="G77" s="11"/>
      <c r="H77" s="11"/>
      <c r="I77" s="11"/>
      <c r="J77" s="11"/>
      <c r="K77" s="11"/>
      <c r="L77" s="16"/>
      <c r="M77" s="13"/>
      <c r="N77" s="11" t="str">
        <f aca="false">IF($A77="","",IFERROR(VLOOKUP($A77,Contenuti!$A:$K,3,FALSE()),""))</f>
        <v/>
      </c>
      <c r="O77" s="11" t="str">
        <f aca="false">IF($A77="","",IFERROR(VLOOKUP($A77,Contenuti!$A:$K,4,FALSE()),""))</f>
        <v/>
      </c>
      <c r="P77" s="11" t="str">
        <f aca="false">IF($A77="","",IFERROR(VLOOKUP($A77,Contenuti!$A:$K,6,FALSE()),""))</f>
        <v/>
      </c>
      <c r="Q77" s="11" t="str">
        <f aca="false">IF($A77="","",IFERROR(VLOOKUP($A77,Contenuti!$A:$K,7,FALSE()),""))</f>
        <v/>
      </c>
    </row>
    <row r="78" customFormat="false" ht="15" hidden="false" customHeight="false" outlineLevel="0" collapsed="false">
      <c r="A78" s="8"/>
      <c r="B78" s="8"/>
      <c r="C78" s="8"/>
      <c r="D78" s="8"/>
      <c r="E78" s="15"/>
      <c r="F78" s="15"/>
      <c r="G78" s="8"/>
      <c r="H78" s="8"/>
      <c r="I78" s="8"/>
      <c r="J78" s="8"/>
      <c r="K78" s="8"/>
      <c r="L78" s="15"/>
      <c r="M78" s="10"/>
      <c r="N78" s="11" t="str">
        <f aca="false">IF($A78="","",IFERROR(VLOOKUP($A78,Contenuti!$A:$K,3,FALSE()),""))</f>
        <v/>
      </c>
      <c r="O78" s="11" t="str">
        <f aca="false">IF($A78="","",IFERROR(VLOOKUP($A78,Contenuti!$A:$K,4,FALSE()),""))</f>
        <v/>
      </c>
      <c r="P78" s="11" t="str">
        <f aca="false">IF($A78="","",IFERROR(VLOOKUP($A78,Contenuti!$A:$K,6,FALSE()),""))</f>
        <v/>
      </c>
      <c r="Q78" s="11" t="str">
        <f aca="false">IF($A78="","",IFERROR(VLOOKUP($A78,Contenuti!$A:$K,7,FALSE()),""))</f>
        <v/>
      </c>
    </row>
    <row r="79" customFormat="false" ht="15" hidden="false" customHeight="false" outlineLevel="0" collapsed="false">
      <c r="A79" s="11"/>
      <c r="B79" s="11"/>
      <c r="C79" s="11"/>
      <c r="D79" s="11"/>
      <c r="E79" s="16"/>
      <c r="F79" s="16"/>
      <c r="G79" s="11"/>
      <c r="H79" s="11"/>
      <c r="I79" s="11"/>
      <c r="J79" s="11"/>
      <c r="K79" s="11"/>
      <c r="L79" s="16"/>
      <c r="M79" s="13"/>
      <c r="N79" s="11" t="str">
        <f aca="false">IF($A79="","",IFERROR(VLOOKUP($A79,Contenuti!$A:$K,3,FALSE()),""))</f>
        <v/>
      </c>
      <c r="O79" s="11" t="str">
        <f aca="false">IF($A79="","",IFERROR(VLOOKUP($A79,Contenuti!$A:$K,4,FALSE()),""))</f>
        <v/>
      </c>
      <c r="P79" s="11" t="str">
        <f aca="false">IF($A79="","",IFERROR(VLOOKUP($A79,Contenuti!$A:$K,6,FALSE()),""))</f>
        <v/>
      </c>
      <c r="Q79" s="11" t="str">
        <f aca="false">IF($A79="","",IFERROR(VLOOKUP($A79,Contenuti!$A:$K,7,FALSE()),""))</f>
        <v/>
      </c>
    </row>
    <row r="80" customFormat="false" ht="15" hidden="false" customHeight="false" outlineLevel="0" collapsed="false">
      <c r="A80" s="8"/>
      <c r="B80" s="8"/>
      <c r="C80" s="8"/>
      <c r="D80" s="8"/>
      <c r="E80" s="15"/>
      <c r="F80" s="15"/>
      <c r="G80" s="8"/>
      <c r="H80" s="8"/>
      <c r="I80" s="8"/>
      <c r="J80" s="8"/>
      <c r="K80" s="8"/>
      <c r="L80" s="15"/>
      <c r="M80" s="10"/>
      <c r="N80" s="11" t="str">
        <f aca="false">IF($A80="","",IFERROR(VLOOKUP($A80,Contenuti!$A:$K,3,FALSE()),""))</f>
        <v/>
      </c>
      <c r="O80" s="11" t="str">
        <f aca="false">IF($A80="","",IFERROR(VLOOKUP($A80,Contenuti!$A:$K,4,FALSE()),""))</f>
        <v/>
      </c>
      <c r="P80" s="11" t="str">
        <f aca="false">IF($A80="","",IFERROR(VLOOKUP($A80,Contenuti!$A:$K,6,FALSE()),""))</f>
        <v/>
      </c>
      <c r="Q80" s="11" t="str">
        <f aca="false">IF($A80="","",IFERROR(VLOOKUP($A80,Contenuti!$A:$K,7,FALSE()),""))</f>
        <v/>
      </c>
    </row>
    <row r="81" customFormat="false" ht="15" hidden="false" customHeight="false" outlineLevel="0" collapsed="false">
      <c r="A81" s="11"/>
      <c r="B81" s="11"/>
      <c r="C81" s="11"/>
      <c r="D81" s="11"/>
      <c r="E81" s="16"/>
      <c r="F81" s="16"/>
      <c r="G81" s="11"/>
      <c r="H81" s="11"/>
      <c r="I81" s="11"/>
      <c r="J81" s="11"/>
      <c r="K81" s="11"/>
      <c r="L81" s="16"/>
      <c r="M81" s="13"/>
      <c r="N81" s="11" t="str">
        <f aca="false">IF($A81="","",IFERROR(VLOOKUP($A81,Contenuti!$A:$K,3,FALSE()),""))</f>
        <v/>
      </c>
      <c r="O81" s="11" t="str">
        <f aca="false">IF($A81="","",IFERROR(VLOOKUP($A81,Contenuti!$A:$K,4,FALSE()),""))</f>
        <v/>
      </c>
      <c r="P81" s="11" t="str">
        <f aca="false">IF($A81="","",IFERROR(VLOOKUP($A81,Contenuti!$A:$K,6,FALSE()),""))</f>
        <v/>
      </c>
      <c r="Q81" s="11" t="str">
        <f aca="false">IF($A81="","",IFERROR(VLOOKUP($A81,Contenuti!$A:$K,7,FALSE()),""))</f>
        <v/>
      </c>
    </row>
    <row r="82" customFormat="false" ht="15" hidden="false" customHeight="false" outlineLevel="0" collapsed="false">
      <c r="A82" s="8"/>
      <c r="B82" s="8"/>
      <c r="C82" s="8"/>
      <c r="D82" s="8"/>
      <c r="E82" s="15"/>
      <c r="F82" s="15"/>
      <c r="G82" s="8"/>
      <c r="H82" s="8"/>
      <c r="I82" s="8"/>
      <c r="J82" s="8"/>
      <c r="K82" s="8"/>
      <c r="L82" s="15"/>
      <c r="M82" s="10"/>
      <c r="N82" s="11" t="str">
        <f aca="false">IF($A82="","",IFERROR(VLOOKUP($A82,Contenuti!$A:$K,3,FALSE()),""))</f>
        <v/>
      </c>
      <c r="O82" s="11" t="str">
        <f aca="false">IF($A82="","",IFERROR(VLOOKUP($A82,Contenuti!$A:$K,4,FALSE()),""))</f>
        <v/>
      </c>
      <c r="P82" s="11" t="str">
        <f aca="false">IF($A82="","",IFERROR(VLOOKUP($A82,Contenuti!$A:$K,6,FALSE()),""))</f>
        <v/>
      </c>
      <c r="Q82" s="11" t="str">
        <f aca="false">IF($A82="","",IFERROR(VLOOKUP($A82,Contenuti!$A:$K,7,FALSE()),""))</f>
        <v/>
      </c>
    </row>
    <row r="83" customFormat="false" ht="15" hidden="false" customHeight="false" outlineLevel="0" collapsed="false">
      <c r="A83" s="11"/>
      <c r="B83" s="11"/>
      <c r="C83" s="11"/>
      <c r="D83" s="11"/>
      <c r="E83" s="16"/>
      <c r="F83" s="16"/>
      <c r="G83" s="11"/>
      <c r="H83" s="11"/>
      <c r="I83" s="11"/>
      <c r="J83" s="11"/>
      <c r="K83" s="11"/>
      <c r="L83" s="16"/>
      <c r="M83" s="13"/>
      <c r="N83" s="11" t="str">
        <f aca="false">IF($A83="","",IFERROR(VLOOKUP($A83,Contenuti!$A:$K,3,FALSE()),""))</f>
        <v/>
      </c>
      <c r="O83" s="11" t="str">
        <f aca="false">IF($A83="","",IFERROR(VLOOKUP($A83,Contenuti!$A:$K,4,FALSE()),""))</f>
        <v/>
      </c>
      <c r="P83" s="11" t="str">
        <f aca="false">IF($A83="","",IFERROR(VLOOKUP($A83,Contenuti!$A:$K,6,FALSE()),""))</f>
        <v/>
      </c>
      <c r="Q83" s="11" t="str">
        <f aca="false">IF($A83="","",IFERROR(VLOOKUP($A83,Contenuti!$A:$K,7,FALSE()),""))</f>
        <v/>
      </c>
    </row>
    <row r="84" customFormat="false" ht="15" hidden="false" customHeight="false" outlineLevel="0" collapsed="false">
      <c r="A84" s="8"/>
      <c r="B84" s="8"/>
      <c r="C84" s="8"/>
      <c r="D84" s="8"/>
      <c r="E84" s="15"/>
      <c r="F84" s="15"/>
      <c r="G84" s="8"/>
      <c r="H84" s="8"/>
      <c r="I84" s="8"/>
      <c r="J84" s="8"/>
      <c r="K84" s="8"/>
      <c r="L84" s="15"/>
      <c r="M84" s="10"/>
      <c r="N84" s="11" t="str">
        <f aca="false">IF($A84="","",IFERROR(VLOOKUP($A84,Contenuti!$A:$K,3,FALSE()),""))</f>
        <v/>
      </c>
      <c r="O84" s="11" t="str">
        <f aca="false">IF($A84="","",IFERROR(VLOOKUP($A84,Contenuti!$A:$K,4,FALSE()),""))</f>
        <v/>
      </c>
      <c r="P84" s="11" t="str">
        <f aca="false">IF($A84="","",IFERROR(VLOOKUP($A84,Contenuti!$A:$K,6,FALSE()),""))</f>
        <v/>
      </c>
      <c r="Q84" s="11" t="str">
        <f aca="false">IF($A84="","",IFERROR(VLOOKUP($A84,Contenuti!$A:$K,7,FALSE()),""))</f>
        <v/>
      </c>
    </row>
    <row r="85" customFormat="false" ht="15" hidden="false" customHeight="false" outlineLevel="0" collapsed="false">
      <c r="A85" s="11"/>
      <c r="B85" s="11"/>
      <c r="C85" s="11"/>
      <c r="D85" s="11"/>
      <c r="E85" s="16"/>
      <c r="F85" s="16"/>
      <c r="G85" s="11"/>
      <c r="H85" s="11"/>
      <c r="I85" s="11"/>
      <c r="J85" s="11"/>
      <c r="K85" s="11"/>
      <c r="L85" s="16"/>
      <c r="M85" s="13"/>
      <c r="N85" s="11" t="str">
        <f aca="false">IF($A85="","",IFERROR(VLOOKUP($A85,Contenuti!$A:$K,3,FALSE()),""))</f>
        <v/>
      </c>
      <c r="O85" s="11" t="str">
        <f aca="false">IF($A85="","",IFERROR(VLOOKUP($A85,Contenuti!$A:$K,4,FALSE()),""))</f>
        <v/>
      </c>
      <c r="P85" s="11" t="str">
        <f aca="false">IF($A85="","",IFERROR(VLOOKUP($A85,Contenuti!$A:$K,6,FALSE()),""))</f>
        <v/>
      </c>
      <c r="Q85" s="11" t="str">
        <f aca="false">IF($A85="","",IFERROR(VLOOKUP($A85,Contenuti!$A:$K,7,FALSE()),""))</f>
        <v/>
      </c>
    </row>
    <row r="86" customFormat="false" ht="15" hidden="false" customHeight="false" outlineLevel="0" collapsed="false">
      <c r="A86" s="8"/>
      <c r="B86" s="8"/>
      <c r="C86" s="8"/>
      <c r="D86" s="8"/>
      <c r="E86" s="15"/>
      <c r="F86" s="15"/>
      <c r="G86" s="8"/>
      <c r="H86" s="8"/>
      <c r="I86" s="8"/>
      <c r="J86" s="8"/>
      <c r="K86" s="8"/>
      <c r="L86" s="15"/>
      <c r="M86" s="10"/>
      <c r="N86" s="11" t="str">
        <f aca="false">IF($A86="","",IFERROR(VLOOKUP($A86,Contenuti!$A:$K,3,FALSE()),""))</f>
        <v/>
      </c>
      <c r="O86" s="11" t="str">
        <f aca="false">IF($A86="","",IFERROR(VLOOKUP($A86,Contenuti!$A:$K,4,FALSE()),""))</f>
        <v/>
      </c>
      <c r="P86" s="11" t="str">
        <f aca="false">IF($A86="","",IFERROR(VLOOKUP($A86,Contenuti!$A:$K,6,FALSE()),""))</f>
        <v/>
      </c>
      <c r="Q86" s="11" t="str">
        <f aca="false">IF($A86="","",IFERROR(VLOOKUP($A86,Contenuti!$A:$K,7,FALSE()),""))</f>
        <v/>
      </c>
    </row>
    <row r="87" customFormat="false" ht="15" hidden="false" customHeight="false" outlineLevel="0" collapsed="false">
      <c r="A87" s="11"/>
      <c r="B87" s="11"/>
      <c r="C87" s="11"/>
      <c r="D87" s="11"/>
      <c r="E87" s="16"/>
      <c r="F87" s="16"/>
      <c r="G87" s="11"/>
      <c r="H87" s="11"/>
      <c r="I87" s="11"/>
      <c r="J87" s="11"/>
      <c r="K87" s="11"/>
      <c r="L87" s="16"/>
      <c r="M87" s="13"/>
      <c r="N87" s="11" t="str">
        <f aca="false">IF($A87="","",IFERROR(VLOOKUP($A87,Contenuti!$A:$K,3,FALSE()),""))</f>
        <v/>
      </c>
      <c r="O87" s="11" t="str">
        <f aca="false">IF($A87="","",IFERROR(VLOOKUP($A87,Contenuti!$A:$K,4,FALSE()),""))</f>
        <v/>
      </c>
      <c r="P87" s="11" t="str">
        <f aca="false">IF($A87="","",IFERROR(VLOOKUP($A87,Contenuti!$A:$K,6,FALSE()),""))</f>
        <v/>
      </c>
      <c r="Q87" s="11" t="str">
        <f aca="false">IF($A87="","",IFERROR(VLOOKUP($A87,Contenuti!$A:$K,7,FALSE()),""))</f>
        <v/>
      </c>
    </row>
    <row r="88" customFormat="false" ht="15" hidden="false" customHeight="false" outlineLevel="0" collapsed="false">
      <c r="A88" s="8"/>
      <c r="B88" s="8"/>
      <c r="C88" s="8"/>
      <c r="D88" s="8"/>
      <c r="E88" s="15"/>
      <c r="F88" s="15"/>
      <c r="G88" s="8"/>
      <c r="H88" s="8"/>
      <c r="I88" s="8"/>
      <c r="J88" s="8"/>
      <c r="K88" s="8"/>
      <c r="L88" s="15"/>
      <c r="M88" s="10"/>
      <c r="N88" s="11" t="str">
        <f aca="false">IF($A88="","",IFERROR(VLOOKUP($A88,Contenuti!$A:$K,3,FALSE()),""))</f>
        <v/>
      </c>
      <c r="O88" s="11" t="str">
        <f aca="false">IF($A88="","",IFERROR(VLOOKUP($A88,Contenuti!$A:$K,4,FALSE()),""))</f>
        <v/>
      </c>
      <c r="P88" s="11" t="str">
        <f aca="false">IF($A88="","",IFERROR(VLOOKUP($A88,Contenuti!$A:$K,6,FALSE()),""))</f>
        <v/>
      </c>
      <c r="Q88" s="11" t="str">
        <f aca="false">IF($A88="","",IFERROR(VLOOKUP($A88,Contenuti!$A:$K,7,FALSE()),""))</f>
        <v/>
      </c>
    </row>
    <row r="89" customFormat="false" ht="15" hidden="false" customHeight="false" outlineLevel="0" collapsed="false">
      <c r="A89" s="11"/>
      <c r="B89" s="11"/>
      <c r="C89" s="11"/>
      <c r="D89" s="11"/>
      <c r="E89" s="16"/>
      <c r="F89" s="16"/>
      <c r="G89" s="11"/>
      <c r="H89" s="11"/>
      <c r="I89" s="11"/>
      <c r="J89" s="11"/>
      <c r="K89" s="11"/>
      <c r="L89" s="16"/>
      <c r="M89" s="13"/>
      <c r="N89" s="11" t="str">
        <f aca="false">IF($A89="","",IFERROR(VLOOKUP($A89,Contenuti!$A:$K,3,FALSE()),""))</f>
        <v/>
      </c>
      <c r="O89" s="11" t="str">
        <f aca="false">IF($A89="","",IFERROR(VLOOKUP($A89,Contenuti!$A:$K,4,FALSE()),""))</f>
        <v/>
      </c>
      <c r="P89" s="11" t="str">
        <f aca="false">IF($A89="","",IFERROR(VLOOKUP($A89,Contenuti!$A:$K,6,FALSE()),""))</f>
        <v/>
      </c>
      <c r="Q89" s="11" t="str">
        <f aca="false">IF($A89="","",IFERROR(VLOOKUP($A89,Contenuti!$A:$K,7,FALSE()),""))</f>
        <v/>
      </c>
    </row>
    <row r="90" customFormat="false" ht="15" hidden="false" customHeight="false" outlineLevel="0" collapsed="false">
      <c r="A90" s="8"/>
      <c r="B90" s="8"/>
      <c r="C90" s="8"/>
      <c r="D90" s="8"/>
      <c r="E90" s="15"/>
      <c r="F90" s="15"/>
      <c r="G90" s="8"/>
      <c r="H90" s="8"/>
      <c r="I90" s="8"/>
      <c r="J90" s="8"/>
      <c r="K90" s="8"/>
      <c r="L90" s="15"/>
      <c r="M90" s="10"/>
      <c r="N90" s="11" t="str">
        <f aca="false">IF($A90="","",IFERROR(VLOOKUP($A90,Contenuti!$A:$K,3,FALSE()),""))</f>
        <v/>
      </c>
      <c r="O90" s="11" t="str">
        <f aca="false">IF($A90="","",IFERROR(VLOOKUP($A90,Contenuti!$A:$K,4,FALSE()),""))</f>
        <v/>
      </c>
      <c r="P90" s="11" t="str">
        <f aca="false">IF($A90="","",IFERROR(VLOOKUP($A90,Contenuti!$A:$K,6,FALSE()),""))</f>
        <v/>
      </c>
      <c r="Q90" s="11" t="str">
        <f aca="false">IF($A90="","",IFERROR(VLOOKUP($A90,Contenuti!$A:$K,7,FALSE()),""))</f>
        <v/>
      </c>
    </row>
    <row r="91" customFormat="false" ht="15" hidden="false" customHeight="false" outlineLevel="0" collapsed="false">
      <c r="A91" s="11"/>
      <c r="B91" s="11"/>
      <c r="C91" s="11"/>
      <c r="D91" s="11"/>
      <c r="E91" s="16"/>
      <c r="F91" s="16"/>
      <c r="G91" s="11"/>
      <c r="H91" s="11"/>
      <c r="I91" s="11"/>
      <c r="J91" s="11"/>
      <c r="K91" s="11"/>
      <c r="L91" s="16"/>
      <c r="M91" s="13"/>
      <c r="N91" s="11" t="str">
        <f aca="false">IF($A91="","",IFERROR(VLOOKUP($A91,Contenuti!$A:$K,3,FALSE()),""))</f>
        <v/>
      </c>
      <c r="O91" s="11" t="str">
        <f aca="false">IF($A91="","",IFERROR(VLOOKUP($A91,Contenuti!$A:$K,4,FALSE()),""))</f>
        <v/>
      </c>
      <c r="P91" s="11" t="str">
        <f aca="false">IF($A91="","",IFERROR(VLOOKUP($A91,Contenuti!$A:$K,6,FALSE()),""))</f>
        <v/>
      </c>
      <c r="Q91" s="11" t="str">
        <f aca="false">IF($A91="","",IFERROR(VLOOKUP($A91,Contenuti!$A:$K,7,FALSE()),""))</f>
        <v/>
      </c>
    </row>
    <row r="92" customFormat="false" ht="15" hidden="false" customHeight="false" outlineLevel="0" collapsed="false">
      <c r="A92" s="8"/>
      <c r="B92" s="8"/>
      <c r="C92" s="8"/>
      <c r="D92" s="8"/>
      <c r="E92" s="15"/>
      <c r="F92" s="15"/>
      <c r="G92" s="8"/>
      <c r="H92" s="8"/>
      <c r="I92" s="8"/>
      <c r="J92" s="8"/>
      <c r="K92" s="8"/>
      <c r="L92" s="15"/>
      <c r="M92" s="10"/>
      <c r="N92" s="11" t="str">
        <f aca="false">IF($A92="","",IFERROR(VLOOKUP($A92,Contenuti!$A:$K,3,FALSE()),""))</f>
        <v/>
      </c>
      <c r="O92" s="11" t="str">
        <f aca="false">IF($A92="","",IFERROR(VLOOKUP($A92,Contenuti!$A:$K,4,FALSE()),""))</f>
        <v/>
      </c>
      <c r="P92" s="11" t="str">
        <f aca="false">IF($A92="","",IFERROR(VLOOKUP($A92,Contenuti!$A:$K,6,FALSE()),""))</f>
        <v/>
      </c>
      <c r="Q92" s="11" t="str">
        <f aca="false">IF($A92="","",IFERROR(VLOOKUP($A92,Contenuti!$A:$K,7,FALSE()),""))</f>
        <v/>
      </c>
    </row>
    <row r="93" customFormat="false" ht="15" hidden="false" customHeight="false" outlineLevel="0" collapsed="false">
      <c r="A93" s="11"/>
      <c r="B93" s="11"/>
      <c r="C93" s="11"/>
      <c r="D93" s="11"/>
      <c r="E93" s="16"/>
      <c r="F93" s="16"/>
      <c r="G93" s="11"/>
      <c r="H93" s="11"/>
      <c r="I93" s="11"/>
      <c r="J93" s="11"/>
      <c r="K93" s="11"/>
      <c r="L93" s="16"/>
      <c r="M93" s="13"/>
      <c r="N93" s="11" t="str">
        <f aca="false">IF($A93="","",IFERROR(VLOOKUP($A93,Contenuti!$A:$K,3,FALSE()),""))</f>
        <v/>
      </c>
      <c r="O93" s="11" t="str">
        <f aca="false">IF($A93="","",IFERROR(VLOOKUP($A93,Contenuti!$A:$K,4,FALSE()),""))</f>
        <v/>
      </c>
      <c r="P93" s="11" t="str">
        <f aca="false">IF($A93="","",IFERROR(VLOOKUP($A93,Contenuti!$A:$K,6,FALSE()),""))</f>
        <v/>
      </c>
      <c r="Q93" s="11" t="str">
        <f aca="false">IF($A93="","",IFERROR(VLOOKUP($A93,Contenuti!$A:$K,7,FALSE()),""))</f>
        <v/>
      </c>
    </row>
    <row r="94" customFormat="false" ht="15" hidden="false" customHeight="false" outlineLevel="0" collapsed="false">
      <c r="A94" s="8"/>
      <c r="B94" s="8"/>
      <c r="C94" s="8"/>
      <c r="D94" s="8"/>
      <c r="E94" s="15"/>
      <c r="F94" s="15"/>
      <c r="G94" s="8"/>
      <c r="H94" s="8"/>
      <c r="I94" s="8"/>
      <c r="J94" s="8"/>
      <c r="K94" s="8"/>
      <c r="L94" s="15"/>
      <c r="M94" s="10"/>
      <c r="N94" s="11" t="str">
        <f aca="false">IF($A94="","",IFERROR(VLOOKUP($A94,Contenuti!$A:$K,3,FALSE()),""))</f>
        <v/>
      </c>
      <c r="O94" s="11" t="str">
        <f aca="false">IF($A94="","",IFERROR(VLOOKUP($A94,Contenuti!$A:$K,4,FALSE()),""))</f>
        <v/>
      </c>
      <c r="P94" s="11" t="str">
        <f aca="false">IF($A94="","",IFERROR(VLOOKUP($A94,Contenuti!$A:$K,6,FALSE()),""))</f>
        <v/>
      </c>
      <c r="Q94" s="11" t="str">
        <f aca="false">IF($A94="","",IFERROR(VLOOKUP($A94,Contenuti!$A:$K,7,FALSE()),""))</f>
        <v/>
      </c>
    </row>
    <row r="95" customFormat="false" ht="15" hidden="false" customHeight="false" outlineLevel="0" collapsed="false">
      <c r="A95" s="11"/>
      <c r="B95" s="11"/>
      <c r="C95" s="11"/>
      <c r="D95" s="11"/>
      <c r="E95" s="16"/>
      <c r="F95" s="16"/>
      <c r="G95" s="11"/>
      <c r="H95" s="11"/>
      <c r="I95" s="11"/>
      <c r="J95" s="11"/>
      <c r="K95" s="11"/>
      <c r="L95" s="16"/>
      <c r="M95" s="13"/>
      <c r="N95" s="11" t="str">
        <f aca="false">IF($A95="","",IFERROR(VLOOKUP($A95,Contenuti!$A:$K,3,FALSE()),""))</f>
        <v/>
      </c>
      <c r="O95" s="11" t="str">
        <f aca="false">IF($A95="","",IFERROR(VLOOKUP($A95,Contenuti!$A:$K,4,FALSE()),""))</f>
        <v/>
      </c>
      <c r="P95" s="11" t="str">
        <f aca="false">IF($A95="","",IFERROR(VLOOKUP($A95,Contenuti!$A:$K,6,FALSE()),""))</f>
        <v/>
      </c>
      <c r="Q95" s="11" t="str">
        <f aca="false">IF($A95="","",IFERROR(VLOOKUP($A95,Contenuti!$A:$K,7,FALSE()),""))</f>
        <v/>
      </c>
    </row>
    <row r="96" customFormat="false" ht="15" hidden="false" customHeight="false" outlineLevel="0" collapsed="false">
      <c r="A96" s="8"/>
      <c r="B96" s="8"/>
      <c r="C96" s="8"/>
      <c r="D96" s="8"/>
      <c r="E96" s="15"/>
      <c r="F96" s="15"/>
      <c r="G96" s="8"/>
      <c r="H96" s="8"/>
      <c r="I96" s="8"/>
      <c r="J96" s="8"/>
      <c r="K96" s="8"/>
      <c r="L96" s="15"/>
      <c r="M96" s="10"/>
      <c r="N96" s="11" t="str">
        <f aca="false">IF($A96="","",IFERROR(VLOOKUP($A96,Contenuti!$A:$K,3,FALSE()),""))</f>
        <v/>
      </c>
      <c r="O96" s="11" t="str">
        <f aca="false">IF($A96="","",IFERROR(VLOOKUP($A96,Contenuti!$A:$K,4,FALSE()),""))</f>
        <v/>
      </c>
      <c r="P96" s="11" t="str">
        <f aca="false">IF($A96="","",IFERROR(VLOOKUP($A96,Contenuti!$A:$K,6,FALSE()),""))</f>
        <v/>
      </c>
      <c r="Q96" s="11" t="str">
        <f aca="false">IF($A96="","",IFERROR(VLOOKUP($A96,Contenuti!$A:$K,7,FALSE()),""))</f>
        <v/>
      </c>
    </row>
    <row r="97" customFormat="false" ht="15" hidden="false" customHeight="false" outlineLevel="0" collapsed="false">
      <c r="A97" s="11"/>
      <c r="B97" s="11"/>
      <c r="C97" s="11"/>
      <c r="D97" s="11"/>
      <c r="E97" s="16"/>
      <c r="F97" s="16"/>
      <c r="G97" s="11"/>
      <c r="H97" s="11"/>
      <c r="I97" s="11"/>
      <c r="J97" s="11"/>
      <c r="K97" s="11"/>
      <c r="L97" s="16"/>
      <c r="M97" s="13"/>
      <c r="N97" s="11" t="str">
        <f aca="false">IF($A97="","",IFERROR(VLOOKUP($A97,Contenuti!$A:$K,3,FALSE()),""))</f>
        <v/>
      </c>
      <c r="O97" s="11" t="str">
        <f aca="false">IF($A97="","",IFERROR(VLOOKUP($A97,Contenuti!$A:$K,4,FALSE()),""))</f>
        <v/>
      </c>
      <c r="P97" s="11" t="str">
        <f aca="false">IF($A97="","",IFERROR(VLOOKUP($A97,Contenuti!$A:$K,6,FALSE()),""))</f>
        <v/>
      </c>
      <c r="Q97" s="11" t="str">
        <f aca="false">IF($A97="","",IFERROR(VLOOKUP($A97,Contenuti!$A:$K,7,FALSE()),""))</f>
        <v/>
      </c>
    </row>
    <row r="98" customFormat="false" ht="15" hidden="false" customHeight="false" outlineLevel="0" collapsed="false">
      <c r="A98" s="8"/>
      <c r="B98" s="8"/>
      <c r="C98" s="8"/>
      <c r="D98" s="8"/>
      <c r="E98" s="15"/>
      <c r="F98" s="15"/>
      <c r="G98" s="8"/>
      <c r="H98" s="8"/>
      <c r="I98" s="8"/>
      <c r="J98" s="8"/>
      <c r="K98" s="8"/>
      <c r="L98" s="15"/>
      <c r="M98" s="10"/>
      <c r="N98" s="11" t="str">
        <f aca="false">IF($A98="","",IFERROR(VLOOKUP($A98,Contenuti!$A:$K,3,FALSE()),""))</f>
        <v/>
      </c>
      <c r="O98" s="11" t="str">
        <f aca="false">IF($A98="","",IFERROR(VLOOKUP($A98,Contenuti!$A:$K,4,FALSE()),""))</f>
        <v/>
      </c>
      <c r="P98" s="11" t="str">
        <f aca="false">IF($A98="","",IFERROR(VLOOKUP($A98,Contenuti!$A:$K,6,FALSE()),""))</f>
        <v/>
      </c>
      <c r="Q98" s="11" t="str">
        <f aca="false">IF($A98="","",IFERROR(VLOOKUP($A98,Contenuti!$A:$K,7,FALSE()),""))</f>
        <v/>
      </c>
    </row>
    <row r="99" customFormat="false" ht="15" hidden="false" customHeight="false" outlineLevel="0" collapsed="false">
      <c r="A99" s="11"/>
      <c r="B99" s="11"/>
      <c r="C99" s="11"/>
      <c r="D99" s="11"/>
      <c r="E99" s="16"/>
      <c r="F99" s="16"/>
      <c r="G99" s="11"/>
      <c r="H99" s="11"/>
      <c r="I99" s="11"/>
      <c r="J99" s="11"/>
      <c r="K99" s="11"/>
      <c r="L99" s="16"/>
      <c r="M99" s="13"/>
      <c r="N99" s="11" t="str">
        <f aca="false">IF($A99="","",IFERROR(VLOOKUP($A99,Contenuti!$A:$K,3,FALSE()),""))</f>
        <v/>
      </c>
      <c r="O99" s="11" t="str">
        <f aca="false">IF($A99="","",IFERROR(VLOOKUP($A99,Contenuti!$A:$K,4,FALSE()),""))</f>
        <v/>
      </c>
      <c r="P99" s="11" t="str">
        <f aca="false">IF($A99="","",IFERROR(VLOOKUP($A99,Contenuti!$A:$K,6,FALSE()),""))</f>
        <v/>
      </c>
      <c r="Q99" s="11" t="str">
        <f aca="false">IF($A99="","",IFERROR(VLOOKUP($A99,Contenuti!$A:$K,7,FALSE()),""))</f>
        <v/>
      </c>
    </row>
    <row r="100" customFormat="false" ht="15" hidden="false" customHeight="false" outlineLevel="0" collapsed="false">
      <c r="A100" s="8"/>
      <c r="B100" s="8"/>
      <c r="C100" s="8"/>
      <c r="D100" s="8"/>
      <c r="E100" s="15"/>
      <c r="F100" s="15"/>
      <c r="G100" s="8"/>
      <c r="H100" s="8"/>
      <c r="I100" s="8"/>
      <c r="J100" s="8"/>
      <c r="K100" s="8"/>
      <c r="L100" s="15"/>
      <c r="M100" s="10"/>
      <c r="N100" s="11" t="str">
        <f aca="false">IF($A100="","",IFERROR(VLOOKUP($A100,Contenuti!$A:$K,3,FALSE()),""))</f>
        <v/>
      </c>
      <c r="O100" s="11" t="str">
        <f aca="false">IF($A100="","",IFERROR(VLOOKUP($A100,Contenuti!$A:$K,4,FALSE()),""))</f>
        <v/>
      </c>
      <c r="P100" s="11" t="str">
        <f aca="false">IF($A100="","",IFERROR(VLOOKUP($A100,Contenuti!$A:$K,6,FALSE()),""))</f>
        <v/>
      </c>
      <c r="Q100" s="11" t="str">
        <f aca="false">IF($A100="","",IFERROR(VLOOKUP($A100,Contenuti!$A:$K,7,FALSE()),""))</f>
        <v/>
      </c>
    </row>
    <row r="101" customFormat="false" ht="15" hidden="false" customHeight="false" outlineLevel="0" collapsed="false">
      <c r="A101" s="11"/>
      <c r="B101" s="11"/>
      <c r="C101" s="11"/>
      <c r="D101" s="11"/>
      <c r="E101" s="16"/>
      <c r="F101" s="16"/>
      <c r="G101" s="11"/>
      <c r="H101" s="11"/>
      <c r="I101" s="11"/>
      <c r="J101" s="11"/>
      <c r="K101" s="11"/>
      <c r="L101" s="16"/>
      <c r="M101" s="13"/>
      <c r="N101" s="11" t="str">
        <f aca="false">IF($A101="","",IFERROR(VLOOKUP($A101,Contenuti!$A:$K,3,FALSE()),""))</f>
        <v/>
      </c>
      <c r="O101" s="11" t="str">
        <f aca="false">IF($A101="","",IFERROR(VLOOKUP($A101,Contenuti!$A:$K,4,FALSE()),""))</f>
        <v/>
      </c>
      <c r="P101" s="11" t="str">
        <f aca="false">IF($A101="","",IFERROR(VLOOKUP($A101,Contenuti!$A:$K,6,FALSE()),""))</f>
        <v/>
      </c>
      <c r="Q101" s="11" t="str">
        <f aca="false">IF($A101="","",IFERROR(VLOOKUP($A101,Contenuti!$A:$K,7,FALSE()),""))</f>
        <v/>
      </c>
    </row>
    <row r="102" customFormat="false" ht="15" hidden="false" customHeight="false" outlineLevel="0" collapsed="false">
      <c r="A102" s="8"/>
      <c r="B102" s="8"/>
      <c r="C102" s="8"/>
      <c r="D102" s="8"/>
      <c r="E102" s="15"/>
      <c r="F102" s="15"/>
      <c r="G102" s="8"/>
      <c r="H102" s="8"/>
      <c r="I102" s="8"/>
      <c r="J102" s="8"/>
      <c r="K102" s="8"/>
      <c r="L102" s="15"/>
      <c r="M102" s="10"/>
      <c r="N102" s="11" t="str">
        <f aca="false">IF($A102="","",IFERROR(VLOOKUP($A102,Contenuti!$A:$K,3,FALSE()),""))</f>
        <v/>
      </c>
      <c r="O102" s="11" t="str">
        <f aca="false">IF($A102="","",IFERROR(VLOOKUP($A102,Contenuti!$A:$K,4,FALSE()),""))</f>
        <v/>
      </c>
      <c r="P102" s="11" t="str">
        <f aca="false">IF($A102="","",IFERROR(VLOOKUP($A102,Contenuti!$A:$K,6,FALSE()),""))</f>
        <v/>
      </c>
      <c r="Q102" s="11" t="str">
        <f aca="false">IF($A102="","",IFERROR(VLOOKUP($A102,Contenuti!$A:$K,7,FALSE()),""))</f>
        <v/>
      </c>
    </row>
    <row r="103" customFormat="false" ht="15" hidden="false" customHeight="false" outlineLevel="0" collapsed="false">
      <c r="A103" s="11"/>
      <c r="B103" s="11"/>
      <c r="C103" s="11"/>
      <c r="D103" s="11"/>
      <c r="E103" s="16"/>
      <c r="F103" s="16"/>
      <c r="G103" s="11"/>
      <c r="H103" s="11"/>
      <c r="I103" s="11"/>
      <c r="J103" s="11"/>
      <c r="K103" s="11"/>
      <c r="L103" s="16"/>
      <c r="M103" s="13"/>
      <c r="N103" s="11" t="str">
        <f aca="false">IF($A103="","",IFERROR(VLOOKUP($A103,Contenuti!$A:$K,3,FALSE()),""))</f>
        <v/>
      </c>
      <c r="O103" s="11" t="str">
        <f aca="false">IF($A103="","",IFERROR(VLOOKUP($A103,Contenuti!$A:$K,4,FALSE()),""))</f>
        <v/>
      </c>
      <c r="P103" s="11" t="str">
        <f aca="false">IF($A103="","",IFERROR(VLOOKUP($A103,Contenuti!$A:$K,6,FALSE()),""))</f>
        <v/>
      </c>
      <c r="Q103" s="11" t="str">
        <f aca="false">IF($A103="","",IFERROR(VLOOKUP($A103,Contenuti!$A:$K,7,FALSE()),""))</f>
        <v/>
      </c>
    </row>
    <row r="104" customFormat="false" ht="15" hidden="false" customHeight="false" outlineLevel="0" collapsed="false">
      <c r="A104" s="8"/>
      <c r="B104" s="8"/>
      <c r="C104" s="8"/>
      <c r="D104" s="8"/>
      <c r="E104" s="15"/>
      <c r="F104" s="15"/>
      <c r="G104" s="8"/>
      <c r="H104" s="8"/>
      <c r="I104" s="8"/>
      <c r="J104" s="8"/>
      <c r="K104" s="8"/>
      <c r="L104" s="15"/>
      <c r="M104" s="10"/>
      <c r="N104" s="11" t="str">
        <f aca="false">IF($A104="","",IFERROR(VLOOKUP($A104,Contenuti!$A:$K,3,FALSE()),""))</f>
        <v/>
      </c>
      <c r="O104" s="11" t="str">
        <f aca="false">IF($A104="","",IFERROR(VLOOKUP($A104,Contenuti!$A:$K,4,FALSE()),""))</f>
        <v/>
      </c>
      <c r="P104" s="11" t="str">
        <f aca="false">IF($A104="","",IFERROR(VLOOKUP($A104,Contenuti!$A:$K,6,FALSE()),""))</f>
        <v/>
      </c>
      <c r="Q104" s="11" t="str">
        <f aca="false">IF($A104="","",IFERROR(VLOOKUP($A104,Contenuti!$A:$K,7,FALSE()),""))</f>
        <v/>
      </c>
    </row>
    <row r="105" customFormat="false" ht="15" hidden="false" customHeight="false" outlineLevel="0" collapsed="false">
      <c r="A105" s="11"/>
      <c r="B105" s="11"/>
      <c r="C105" s="11"/>
      <c r="D105" s="11"/>
      <c r="E105" s="16"/>
      <c r="F105" s="16"/>
      <c r="G105" s="11"/>
      <c r="H105" s="11"/>
      <c r="I105" s="11"/>
      <c r="J105" s="11"/>
      <c r="K105" s="11"/>
      <c r="L105" s="16"/>
      <c r="M105" s="13"/>
      <c r="N105" s="11" t="str">
        <f aca="false">IF($A105="","",IFERROR(VLOOKUP($A105,Contenuti!$A:$K,3,FALSE()),""))</f>
        <v/>
      </c>
      <c r="O105" s="11" t="str">
        <f aca="false">IF($A105="","",IFERROR(VLOOKUP($A105,Contenuti!$A:$K,4,FALSE()),""))</f>
        <v/>
      </c>
      <c r="P105" s="11" t="str">
        <f aca="false">IF($A105="","",IFERROR(VLOOKUP($A105,Contenuti!$A:$K,6,FALSE()),""))</f>
        <v/>
      </c>
      <c r="Q105" s="11" t="str">
        <f aca="false">IF($A105="","",IFERROR(VLOOKUP($A105,Contenuti!$A:$K,7,FALSE()),""))</f>
        <v/>
      </c>
    </row>
    <row r="106" customFormat="false" ht="15" hidden="false" customHeight="false" outlineLevel="0" collapsed="false">
      <c r="A106" s="8"/>
      <c r="B106" s="8"/>
      <c r="C106" s="8"/>
      <c r="D106" s="8"/>
      <c r="E106" s="15"/>
      <c r="F106" s="15"/>
      <c r="G106" s="8"/>
      <c r="H106" s="8"/>
      <c r="I106" s="8"/>
      <c r="J106" s="8"/>
      <c r="K106" s="8"/>
      <c r="L106" s="15"/>
      <c r="M106" s="10"/>
      <c r="N106" s="11" t="str">
        <f aca="false">IF($A106="","",IFERROR(VLOOKUP($A106,Contenuti!$A:$K,3,FALSE()),""))</f>
        <v/>
      </c>
      <c r="O106" s="11" t="str">
        <f aca="false">IF($A106="","",IFERROR(VLOOKUP($A106,Contenuti!$A:$K,4,FALSE()),""))</f>
        <v/>
      </c>
      <c r="P106" s="11" t="str">
        <f aca="false">IF($A106="","",IFERROR(VLOOKUP($A106,Contenuti!$A:$K,6,FALSE()),""))</f>
        <v/>
      </c>
      <c r="Q106" s="11" t="str">
        <f aca="false">IF($A106="","",IFERROR(VLOOKUP($A106,Contenuti!$A:$K,7,FALSE()),""))</f>
        <v/>
      </c>
    </row>
    <row r="107" customFormat="false" ht="15" hidden="false" customHeight="false" outlineLevel="0" collapsed="false">
      <c r="A107" s="11"/>
      <c r="B107" s="11"/>
      <c r="C107" s="11"/>
      <c r="D107" s="11"/>
      <c r="E107" s="16"/>
      <c r="F107" s="16"/>
      <c r="G107" s="11"/>
      <c r="H107" s="11"/>
      <c r="I107" s="11"/>
      <c r="J107" s="11"/>
      <c r="K107" s="11"/>
      <c r="L107" s="16"/>
      <c r="M107" s="13"/>
      <c r="N107" s="11" t="str">
        <f aca="false">IF($A107="","",IFERROR(VLOOKUP($A107,Contenuti!$A:$K,3,FALSE()),""))</f>
        <v/>
      </c>
      <c r="O107" s="11" t="str">
        <f aca="false">IF($A107="","",IFERROR(VLOOKUP($A107,Contenuti!$A:$K,4,FALSE()),""))</f>
        <v/>
      </c>
      <c r="P107" s="11" t="str">
        <f aca="false">IF($A107="","",IFERROR(VLOOKUP($A107,Contenuti!$A:$K,6,FALSE()),""))</f>
        <v/>
      </c>
      <c r="Q107" s="11" t="str">
        <f aca="false">IF($A107="","",IFERROR(VLOOKUP($A107,Contenuti!$A:$K,7,FALSE()),""))</f>
        <v/>
      </c>
    </row>
    <row r="108" customFormat="false" ht="15" hidden="false" customHeight="false" outlineLevel="0" collapsed="false">
      <c r="A108" s="8"/>
      <c r="B108" s="8"/>
      <c r="C108" s="8"/>
      <c r="D108" s="8"/>
      <c r="E108" s="15"/>
      <c r="F108" s="15"/>
      <c r="G108" s="8"/>
      <c r="H108" s="8"/>
      <c r="I108" s="8"/>
      <c r="J108" s="8"/>
      <c r="K108" s="8"/>
      <c r="L108" s="15"/>
      <c r="M108" s="10"/>
      <c r="N108" s="11" t="str">
        <f aca="false">IF($A108="","",IFERROR(VLOOKUP($A108,Contenuti!$A:$K,3,FALSE()),""))</f>
        <v/>
      </c>
      <c r="O108" s="11" t="str">
        <f aca="false">IF($A108="","",IFERROR(VLOOKUP($A108,Contenuti!$A:$K,4,FALSE()),""))</f>
        <v/>
      </c>
      <c r="P108" s="11" t="str">
        <f aca="false">IF($A108="","",IFERROR(VLOOKUP($A108,Contenuti!$A:$K,6,FALSE()),""))</f>
        <v/>
      </c>
      <c r="Q108" s="11" t="str">
        <f aca="false">IF($A108="","",IFERROR(VLOOKUP($A108,Contenuti!$A:$K,7,FALSE()),""))</f>
        <v/>
      </c>
    </row>
    <row r="109" customFormat="false" ht="15" hidden="false" customHeight="false" outlineLevel="0" collapsed="false">
      <c r="A109" s="11"/>
      <c r="B109" s="11"/>
      <c r="C109" s="11"/>
      <c r="D109" s="11"/>
      <c r="E109" s="16"/>
      <c r="F109" s="16"/>
      <c r="G109" s="11"/>
      <c r="H109" s="11"/>
      <c r="I109" s="11"/>
      <c r="J109" s="11"/>
      <c r="K109" s="11"/>
      <c r="L109" s="16"/>
      <c r="M109" s="13"/>
      <c r="N109" s="11" t="str">
        <f aca="false">IF($A109="","",IFERROR(VLOOKUP($A109,Contenuti!$A:$K,3,FALSE()),""))</f>
        <v/>
      </c>
      <c r="O109" s="11" t="str">
        <f aca="false">IF($A109="","",IFERROR(VLOOKUP($A109,Contenuti!$A:$K,4,FALSE()),""))</f>
        <v/>
      </c>
      <c r="P109" s="11" t="str">
        <f aca="false">IF($A109="","",IFERROR(VLOOKUP($A109,Contenuti!$A:$K,6,FALSE()),""))</f>
        <v/>
      </c>
      <c r="Q109" s="11" t="str">
        <f aca="false">IF($A109="","",IFERROR(VLOOKUP($A109,Contenuti!$A:$K,7,FALSE()),""))</f>
        <v/>
      </c>
    </row>
    <row r="110" customFormat="false" ht="15" hidden="false" customHeight="false" outlineLevel="0" collapsed="false">
      <c r="A110" s="8"/>
      <c r="B110" s="8"/>
      <c r="C110" s="8"/>
      <c r="D110" s="8"/>
      <c r="E110" s="15"/>
      <c r="F110" s="15"/>
      <c r="G110" s="8"/>
      <c r="H110" s="8"/>
      <c r="I110" s="8"/>
      <c r="J110" s="8"/>
      <c r="K110" s="8"/>
      <c r="L110" s="15"/>
      <c r="M110" s="10"/>
      <c r="N110" s="11" t="str">
        <f aca="false">IF($A110="","",IFERROR(VLOOKUP($A110,Contenuti!$A:$K,3,FALSE()),""))</f>
        <v/>
      </c>
      <c r="O110" s="11" t="str">
        <f aca="false">IF($A110="","",IFERROR(VLOOKUP($A110,Contenuti!$A:$K,4,FALSE()),""))</f>
        <v/>
      </c>
      <c r="P110" s="11" t="str">
        <f aca="false">IF($A110="","",IFERROR(VLOOKUP($A110,Contenuti!$A:$K,6,FALSE()),""))</f>
        <v/>
      </c>
      <c r="Q110" s="11" t="str">
        <f aca="false">IF($A110="","",IFERROR(VLOOKUP($A110,Contenuti!$A:$K,7,FALSE()),""))</f>
        <v/>
      </c>
    </row>
    <row r="111" customFormat="false" ht="15" hidden="false" customHeight="false" outlineLevel="0" collapsed="false">
      <c r="A111" s="11"/>
      <c r="B111" s="11"/>
      <c r="C111" s="11"/>
      <c r="D111" s="11"/>
      <c r="E111" s="16"/>
      <c r="F111" s="16"/>
      <c r="G111" s="11"/>
      <c r="H111" s="11"/>
      <c r="I111" s="11"/>
      <c r="J111" s="11"/>
      <c r="K111" s="11"/>
      <c r="L111" s="16"/>
      <c r="M111" s="13"/>
      <c r="N111" s="11" t="str">
        <f aca="false">IF($A111="","",IFERROR(VLOOKUP($A111,Contenuti!$A:$K,3,FALSE()),""))</f>
        <v/>
      </c>
      <c r="O111" s="11" t="str">
        <f aca="false">IF($A111="","",IFERROR(VLOOKUP($A111,Contenuti!$A:$K,4,FALSE()),""))</f>
        <v/>
      </c>
      <c r="P111" s="11" t="str">
        <f aca="false">IF($A111="","",IFERROR(VLOOKUP($A111,Contenuti!$A:$K,6,FALSE()),""))</f>
        <v/>
      </c>
      <c r="Q111" s="11" t="str">
        <f aca="false">IF($A111="","",IFERROR(VLOOKUP($A111,Contenuti!$A:$K,7,FALSE()),""))</f>
        <v/>
      </c>
    </row>
    <row r="112" customFormat="false" ht="15" hidden="false" customHeight="false" outlineLevel="0" collapsed="false">
      <c r="A112" s="8"/>
      <c r="B112" s="8"/>
      <c r="C112" s="8"/>
      <c r="D112" s="8"/>
      <c r="E112" s="15"/>
      <c r="F112" s="15"/>
      <c r="G112" s="8"/>
      <c r="H112" s="8"/>
      <c r="I112" s="8"/>
      <c r="J112" s="8"/>
      <c r="K112" s="8"/>
      <c r="L112" s="15"/>
      <c r="M112" s="10"/>
      <c r="N112" s="11" t="str">
        <f aca="false">IF($A112="","",IFERROR(VLOOKUP($A112,Contenuti!$A:$K,3,FALSE()),""))</f>
        <v/>
      </c>
      <c r="O112" s="11" t="str">
        <f aca="false">IF($A112="","",IFERROR(VLOOKUP($A112,Contenuti!$A:$K,4,FALSE()),""))</f>
        <v/>
      </c>
      <c r="P112" s="11" t="str">
        <f aca="false">IF($A112="","",IFERROR(VLOOKUP($A112,Contenuti!$A:$K,6,FALSE()),""))</f>
        <v/>
      </c>
      <c r="Q112" s="11" t="str">
        <f aca="false">IF($A112="","",IFERROR(VLOOKUP($A112,Contenuti!$A:$K,7,FALSE()),""))</f>
        <v/>
      </c>
    </row>
    <row r="113" customFormat="false" ht="15" hidden="false" customHeight="false" outlineLevel="0" collapsed="false">
      <c r="A113" s="11"/>
      <c r="B113" s="11"/>
      <c r="C113" s="11"/>
      <c r="D113" s="11"/>
      <c r="E113" s="16"/>
      <c r="F113" s="16"/>
      <c r="G113" s="11"/>
      <c r="H113" s="11"/>
      <c r="I113" s="11"/>
      <c r="J113" s="11"/>
      <c r="K113" s="11"/>
      <c r="L113" s="16"/>
      <c r="M113" s="13"/>
      <c r="N113" s="11" t="str">
        <f aca="false">IF($A113="","",IFERROR(VLOOKUP($A113,Contenuti!$A:$K,3,FALSE()),""))</f>
        <v/>
      </c>
      <c r="O113" s="11" t="str">
        <f aca="false">IF($A113="","",IFERROR(VLOOKUP($A113,Contenuti!$A:$K,4,FALSE()),""))</f>
        <v/>
      </c>
      <c r="P113" s="11" t="str">
        <f aca="false">IF($A113="","",IFERROR(VLOOKUP($A113,Contenuti!$A:$K,6,FALSE()),""))</f>
        <v/>
      </c>
      <c r="Q113" s="11" t="str">
        <f aca="false">IF($A113="","",IFERROR(VLOOKUP($A113,Contenuti!$A:$K,7,FALSE()),""))</f>
        <v/>
      </c>
    </row>
    <row r="114" customFormat="false" ht="15" hidden="false" customHeight="false" outlineLevel="0" collapsed="false">
      <c r="A114" s="8"/>
      <c r="B114" s="8"/>
      <c r="C114" s="8"/>
      <c r="D114" s="8"/>
      <c r="E114" s="15"/>
      <c r="F114" s="15"/>
      <c r="G114" s="8"/>
      <c r="H114" s="8"/>
      <c r="I114" s="8"/>
      <c r="J114" s="8"/>
      <c r="K114" s="8"/>
      <c r="L114" s="15"/>
      <c r="M114" s="10"/>
      <c r="N114" s="11" t="str">
        <f aca="false">IF($A114="","",IFERROR(VLOOKUP($A114,Contenuti!$A:$K,3,FALSE()),""))</f>
        <v/>
      </c>
      <c r="O114" s="11" t="str">
        <f aca="false">IF($A114="","",IFERROR(VLOOKUP($A114,Contenuti!$A:$K,4,FALSE()),""))</f>
        <v/>
      </c>
      <c r="P114" s="11" t="str">
        <f aca="false">IF($A114="","",IFERROR(VLOOKUP($A114,Contenuti!$A:$K,6,FALSE()),""))</f>
        <v/>
      </c>
      <c r="Q114" s="11" t="str">
        <f aca="false">IF($A114="","",IFERROR(VLOOKUP($A114,Contenuti!$A:$K,7,FALSE()),""))</f>
        <v/>
      </c>
    </row>
    <row r="115" customFormat="false" ht="15" hidden="false" customHeight="false" outlineLevel="0" collapsed="false">
      <c r="A115" s="11"/>
      <c r="B115" s="11"/>
      <c r="C115" s="11"/>
      <c r="D115" s="11"/>
      <c r="E115" s="16"/>
      <c r="F115" s="16"/>
      <c r="G115" s="11"/>
      <c r="H115" s="11"/>
      <c r="I115" s="11"/>
      <c r="J115" s="11"/>
      <c r="K115" s="11"/>
      <c r="L115" s="16"/>
      <c r="M115" s="13"/>
      <c r="N115" s="11" t="str">
        <f aca="false">IF($A115="","",IFERROR(VLOOKUP($A115,Contenuti!$A:$K,3,FALSE()),""))</f>
        <v/>
      </c>
      <c r="O115" s="11" t="str">
        <f aca="false">IF($A115="","",IFERROR(VLOOKUP($A115,Contenuti!$A:$K,4,FALSE()),""))</f>
        <v/>
      </c>
      <c r="P115" s="11" t="str">
        <f aca="false">IF($A115="","",IFERROR(VLOOKUP($A115,Contenuti!$A:$K,6,FALSE()),""))</f>
        <v/>
      </c>
      <c r="Q115" s="11" t="str">
        <f aca="false">IF($A115="","",IFERROR(VLOOKUP($A115,Contenuti!$A:$K,7,FALSE()),""))</f>
        <v/>
      </c>
    </row>
    <row r="116" customFormat="false" ht="15" hidden="false" customHeight="false" outlineLevel="0" collapsed="false">
      <c r="A116" s="8"/>
      <c r="B116" s="8"/>
      <c r="C116" s="8"/>
      <c r="D116" s="8"/>
      <c r="E116" s="15"/>
      <c r="F116" s="15"/>
      <c r="G116" s="8"/>
      <c r="H116" s="8"/>
      <c r="I116" s="8"/>
      <c r="J116" s="8"/>
      <c r="K116" s="8"/>
      <c r="L116" s="15"/>
      <c r="M116" s="10"/>
      <c r="N116" s="11" t="str">
        <f aca="false">IF($A116="","",IFERROR(VLOOKUP($A116,Contenuti!$A:$K,3,FALSE()),""))</f>
        <v/>
      </c>
      <c r="O116" s="11" t="str">
        <f aca="false">IF($A116="","",IFERROR(VLOOKUP($A116,Contenuti!$A:$K,4,FALSE()),""))</f>
        <v/>
      </c>
      <c r="P116" s="11" t="str">
        <f aca="false">IF($A116="","",IFERROR(VLOOKUP($A116,Contenuti!$A:$K,6,FALSE()),""))</f>
        <v/>
      </c>
      <c r="Q116" s="11" t="str">
        <f aca="false">IF($A116="","",IFERROR(VLOOKUP($A116,Contenuti!$A:$K,7,FALSE()),""))</f>
        <v/>
      </c>
    </row>
    <row r="117" customFormat="false" ht="15" hidden="false" customHeight="false" outlineLevel="0" collapsed="false">
      <c r="A117" s="11"/>
      <c r="B117" s="11"/>
      <c r="C117" s="11"/>
      <c r="D117" s="11"/>
      <c r="E117" s="16"/>
      <c r="F117" s="16"/>
      <c r="G117" s="11"/>
      <c r="H117" s="11"/>
      <c r="I117" s="11"/>
      <c r="J117" s="11"/>
      <c r="K117" s="11"/>
      <c r="L117" s="16"/>
      <c r="M117" s="13"/>
      <c r="N117" s="11" t="str">
        <f aca="false">IF($A117="","",IFERROR(VLOOKUP($A117,Contenuti!$A:$K,3,FALSE()),""))</f>
        <v/>
      </c>
      <c r="O117" s="11" t="str">
        <f aca="false">IF($A117="","",IFERROR(VLOOKUP($A117,Contenuti!$A:$K,4,FALSE()),""))</f>
        <v/>
      </c>
      <c r="P117" s="11" t="str">
        <f aca="false">IF($A117="","",IFERROR(VLOOKUP($A117,Contenuti!$A:$K,6,FALSE()),""))</f>
        <v/>
      </c>
      <c r="Q117" s="11" t="str">
        <f aca="false">IF($A117="","",IFERROR(VLOOKUP($A117,Contenuti!$A:$K,7,FALSE()),""))</f>
        <v/>
      </c>
    </row>
    <row r="118" customFormat="false" ht="15" hidden="false" customHeight="false" outlineLevel="0" collapsed="false">
      <c r="A118" s="8"/>
      <c r="B118" s="8"/>
      <c r="C118" s="8"/>
      <c r="D118" s="8"/>
      <c r="E118" s="15"/>
      <c r="F118" s="15"/>
      <c r="G118" s="8"/>
      <c r="H118" s="8"/>
      <c r="I118" s="8"/>
      <c r="J118" s="8"/>
      <c r="K118" s="8"/>
      <c r="L118" s="15"/>
      <c r="M118" s="10"/>
      <c r="N118" s="11" t="str">
        <f aca="false">IF($A118="","",IFERROR(VLOOKUP($A118,Contenuti!$A:$K,3,FALSE()),""))</f>
        <v/>
      </c>
      <c r="O118" s="11" t="str">
        <f aca="false">IF($A118="","",IFERROR(VLOOKUP($A118,Contenuti!$A:$K,4,FALSE()),""))</f>
        <v/>
      </c>
      <c r="P118" s="11" t="str">
        <f aca="false">IF($A118="","",IFERROR(VLOOKUP($A118,Contenuti!$A:$K,6,FALSE()),""))</f>
        <v/>
      </c>
      <c r="Q118" s="11" t="str">
        <f aca="false">IF($A118="","",IFERROR(VLOOKUP($A118,Contenuti!$A:$K,7,FALSE()),""))</f>
        <v/>
      </c>
    </row>
    <row r="119" customFormat="false" ht="15" hidden="false" customHeight="false" outlineLevel="0" collapsed="false">
      <c r="A119" s="11"/>
      <c r="B119" s="11"/>
      <c r="C119" s="11"/>
      <c r="D119" s="11"/>
      <c r="E119" s="16"/>
      <c r="F119" s="16"/>
      <c r="G119" s="11"/>
      <c r="H119" s="11"/>
      <c r="I119" s="11"/>
      <c r="J119" s="11"/>
      <c r="K119" s="11"/>
      <c r="L119" s="16"/>
      <c r="M119" s="13"/>
      <c r="N119" s="11" t="str">
        <f aca="false">IF($A119="","",IFERROR(VLOOKUP($A119,Contenuti!$A:$K,3,FALSE()),""))</f>
        <v/>
      </c>
      <c r="O119" s="11" t="str">
        <f aca="false">IF($A119="","",IFERROR(VLOOKUP($A119,Contenuti!$A:$K,4,FALSE()),""))</f>
        <v/>
      </c>
      <c r="P119" s="11" t="str">
        <f aca="false">IF($A119="","",IFERROR(VLOOKUP($A119,Contenuti!$A:$K,6,FALSE()),""))</f>
        <v/>
      </c>
      <c r="Q119" s="11" t="str">
        <f aca="false">IF($A119="","",IFERROR(VLOOKUP($A119,Contenuti!$A:$K,7,FALSE()),""))</f>
        <v/>
      </c>
    </row>
    <row r="120" customFormat="false" ht="15" hidden="false" customHeight="false" outlineLevel="0" collapsed="false">
      <c r="A120" s="8"/>
      <c r="B120" s="8"/>
      <c r="C120" s="8"/>
      <c r="D120" s="8"/>
      <c r="E120" s="15"/>
      <c r="F120" s="15"/>
      <c r="G120" s="8"/>
      <c r="H120" s="8"/>
      <c r="I120" s="8"/>
      <c r="J120" s="8"/>
      <c r="K120" s="8"/>
      <c r="L120" s="15"/>
      <c r="M120" s="10"/>
      <c r="N120" s="11" t="str">
        <f aca="false">IF($A120="","",IFERROR(VLOOKUP($A120,Contenuti!$A:$K,3,FALSE()),""))</f>
        <v/>
      </c>
      <c r="O120" s="11" t="str">
        <f aca="false">IF($A120="","",IFERROR(VLOOKUP($A120,Contenuti!$A:$K,4,FALSE()),""))</f>
        <v/>
      </c>
      <c r="P120" s="11" t="str">
        <f aca="false">IF($A120="","",IFERROR(VLOOKUP($A120,Contenuti!$A:$K,6,FALSE()),""))</f>
        <v/>
      </c>
      <c r="Q120" s="11" t="str">
        <f aca="false">IF($A120="","",IFERROR(VLOOKUP($A120,Contenuti!$A:$K,7,FALSE()),""))</f>
        <v/>
      </c>
    </row>
    <row r="121" customFormat="false" ht="15" hidden="false" customHeight="false" outlineLevel="0" collapsed="false">
      <c r="A121" s="11"/>
      <c r="B121" s="11"/>
      <c r="C121" s="11"/>
      <c r="D121" s="11"/>
      <c r="E121" s="16"/>
      <c r="F121" s="16"/>
      <c r="G121" s="11"/>
      <c r="H121" s="11"/>
      <c r="I121" s="11"/>
      <c r="J121" s="11"/>
      <c r="K121" s="11"/>
      <c r="L121" s="16"/>
      <c r="M121" s="13"/>
      <c r="N121" s="11" t="str">
        <f aca="false">IF($A121="","",IFERROR(VLOOKUP($A121,Contenuti!$A:$K,3,FALSE()),""))</f>
        <v/>
      </c>
      <c r="O121" s="11" t="str">
        <f aca="false">IF($A121="","",IFERROR(VLOOKUP($A121,Contenuti!$A:$K,4,FALSE()),""))</f>
        <v/>
      </c>
      <c r="P121" s="11" t="str">
        <f aca="false">IF($A121="","",IFERROR(VLOOKUP($A121,Contenuti!$A:$K,6,FALSE()),""))</f>
        <v/>
      </c>
      <c r="Q121" s="11" t="str">
        <f aca="false">IF($A121="","",IFERROR(VLOOKUP($A121,Contenuti!$A:$K,7,FALSE()),""))</f>
        <v/>
      </c>
    </row>
  </sheetData>
  <autoFilter ref="A1:Q121"/>
  <dataValidations count="1">
    <dataValidation allowBlank="true" errorStyle="stop" operator="between" showDropDown="false" showErrorMessage="false" showInputMessage="false" sqref="B2:B121" type="list">
      <formula1>"TikTok,Instagram,YouTube,Facebook"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8"/>
    <col collapsed="false" customWidth="true" hidden="false" outlineLevel="0" max="4" min="4" style="0" width="16"/>
    <col collapsed="false" customWidth="true" hidden="false" outlineLevel="0" max="6" min="5" style="0" width="15"/>
  </cols>
  <sheetData>
    <row r="1" customFormat="false" ht="18" hidden="false" customHeight="true" outlineLevel="0" collapsed="false">
      <c r="A1" s="1" t="s">
        <v>153</v>
      </c>
    </row>
    <row r="2" customFormat="false" ht="15" hidden="false" customHeight="false" outlineLevel="0" collapsed="false">
      <c r="A2" s="2" t="s">
        <v>154</v>
      </c>
    </row>
    <row r="4" customFormat="false" ht="15.75" hidden="false" customHeight="true" outlineLevel="0" collapsed="false">
      <c r="A4" s="17" t="s">
        <v>155</v>
      </c>
    </row>
    <row r="5" customFormat="false" ht="30" hidden="false" customHeight="true" outlineLevel="0" collapsed="false">
      <c r="A5" s="7" t="s">
        <v>14</v>
      </c>
      <c r="B5" s="7" t="s">
        <v>156</v>
      </c>
      <c r="C5" s="7" t="s">
        <v>157</v>
      </c>
      <c r="D5" s="7" t="s">
        <v>158</v>
      </c>
      <c r="E5" s="7" t="s">
        <v>159</v>
      </c>
      <c r="F5" s="7" t="s">
        <v>160</v>
      </c>
    </row>
    <row r="6" customFormat="false" ht="15" hidden="false" customHeight="false" outlineLevel="0" collapsed="false">
      <c r="A6" s="18" t="s">
        <v>40</v>
      </c>
      <c r="B6" s="16" t="str">
        <f aca="false">IFERROR(AVERAGEIFS(Metriche!$E$2:$E$121,Metriche!$P$2:$P$121,"Classica",Metriche!$B$2:$B$121,"TikTok"),"—")</f>
        <v>—</v>
      </c>
      <c r="C6" s="16" t="str">
        <f aca="false">IFERROR(AVERAGEIFS(Metriche!$F$2:$F$121,Metriche!$P$2:$P$121,"Classica",Metriche!$B$2:$B$121,"TikTok"),"—")</f>
        <v>—</v>
      </c>
      <c r="D6" s="19" t="n">
        <f aca="false">IFERROR(AVERAGEIFS(Metriche!$D$2:$D$121,Metriche!$P$2:$P$121,"Classica",Metriche!$B$2:$B$121,"TikTok"),"—")</f>
        <v>609</v>
      </c>
      <c r="E6" s="19" t="str">
        <f aca="false">IFERROR(AVERAGEIFS(Metriche!$J$2:$J$121,Metriche!$P$2:$P$121,"Classica",Metriche!$B$2:$B$121,"TikTok"),"—")</f>
        <v>—</v>
      </c>
      <c r="F6" s="11" t="n">
        <f aca="false">COUNTIFS(Metriche!$P$2:$P$121,"Classica",Metriche!$B$2:$B$121,"TikTok")</f>
        <v>1</v>
      </c>
    </row>
    <row r="7" customFormat="false" ht="15" hidden="false" customHeight="false" outlineLevel="0" collapsed="false">
      <c r="A7" s="18" t="s">
        <v>80</v>
      </c>
      <c r="B7" s="16" t="str">
        <f aca="false">IFERROR(AVERAGEIFS(Metriche!$E$2:$E$121,Metriche!$P$2:$P$121,"Domanda 2 tempi",Metriche!$B$2:$B$121,"TikTok"),"—")</f>
        <v>—</v>
      </c>
      <c r="C7" s="16" t="str">
        <f aca="false">IFERROR(AVERAGEIFS(Metriche!$F$2:$F$121,Metriche!$P$2:$P$121,"Domanda 2 tempi",Metriche!$B$2:$B$121,"TikTok"),"—")</f>
        <v>—</v>
      </c>
      <c r="D7" s="19" t="str">
        <f aca="false">IFERROR(AVERAGEIFS(Metriche!$D$2:$D$121,Metriche!$P$2:$P$121,"Domanda 2 tempi",Metriche!$B$2:$B$121,"TikTok"),"—")</f>
        <v>—</v>
      </c>
      <c r="E7" s="19" t="str">
        <f aca="false">IFERROR(AVERAGEIFS(Metriche!$J$2:$J$121,Metriche!$P$2:$P$121,"Domanda 2 tempi",Metriche!$B$2:$B$121,"TikTok"),"—")</f>
        <v>—</v>
      </c>
      <c r="F7" s="11" t="n">
        <f aca="false">COUNTIFS(Metriche!$P$2:$P$121,"Domanda 2 tempi",Metriche!$B$2:$B$121,"TikTok")</f>
        <v>0</v>
      </c>
    </row>
    <row r="9" customFormat="false" ht="15.75" hidden="false" customHeight="true" outlineLevel="0" collapsed="false">
      <c r="A9" s="17" t="s">
        <v>161</v>
      </c>
    </row>
    <row r="10" customFormat="false" ht="30" hidden="false" customHeight="true" outlineLevel="0" collapsed="false">
      <c r="A10" s="7" t="s">
        <v>16</v>
      </c>
      <c r="B10" s="7" t="s">
        <v>156</v>
      </c>
      <c r="C10" s="7" t="s">
        <v>157</v>
      </c>
      <c r="D10" s="7" t="s">
        <v>158</v>
      </c>
      <c r="E10" s="7" t="s">
        <v>159</v>
      </c>
      <c r="F10" s="7" t="s">
        <v>160</v>
      </c>
    </row>
    <row r="11" customFormat="false" ht="15" hidden="false" customHeight="false" outlineLevel="0" collapsed="false">
      <c r="A11" s="18" t="s">
        <v>162</v>
      </c>
      <c r="B11" s="16" t="str">
        <f aca="false">IFERROR(AVERAGEIFS(Metriche!$E$2:$E$121,Metriche!$Q$2:$Q$121,"Solo titoli",Metriche!$B$2:$B$121,"TikTok"),"—")</f>
        <v>—</v>
      </c>
      <c r="C11" s="16" t="str">
        <f aca="false">IFERROR(AVERAGEIFS(Metriche!$F$2:$F$121,Metriche!$Q$2:$Q$121,"Solo titoli",Metriche!$B$2:$B$121,"TikTok"),"—")</f>
        <v>—</v>
      </c>
      <c r="D11" s="19" t="str">
        <f aca="false">IFERROR(AVERAGEIFS(Metriche!$D$2:$D$121,Metriche!$Q$2:$Q$121,"Solo titoli",Metriche!$B$2:$B$121,"TikTok"),"—")</f>
        <v>—</v>
      </c>
      <c r="E11" s="19" t="str">
        <f aca="false">IFERROR(AVERAGEIFS(Metriche!$J$2:$J$121,Metriche!$Q$2:$Q$121,"Solo titoli",Metriche!$B$2:$B$121,"TikTok"),"—")</f>
        <v>—</v>
      </c>
      <c r="F11" s="11" t="n">
        <f aca="false">COUNTIFS(Metriche!$Q$2:$Q$121,"Solo titoli",Metriche!$B$2:$B$121,"TikTok")</f>
        <v>0</v>
      </c>
    </row>
    <row r="12" customFormat="false" ht="15" hidden="false" customHeight="false" outlineLevel="0" collapsed="false">
      <c r="A12" s="18" t="s">
        <v>163</v>
      </c>
      <c r="B12" s="16" t="str">
        <f aca="false">IFERROR(AVERAGEIFS(Metriche!$E$2:$E$121,Metriche!$Q$2:$Q$121,"Con micro-trama",Metriche!$B$2:$B$121,"TikTok"),"—")</f>
        <v>—</v>
      </c>
      <c r="C12" s="16" t="str">
        <f aca="false">IFERROR(AVERAGEIFS(Metriche!$F$2:$F$121,Metriche!$Q$2:$Q$121,"Con micro-trama",Metriche!$B$2:$B$121,"TikTok"),"—")</f>
        <v>—</v>
      </c>
      <c r="D12" s="19" t="n">
        <f aca="false">IFERROR(AVERAGEIFS(Metriche!$D$2:$D$121,Metriche!$Q$2:$Q$121,"Con micro-trama",Metriche!$B$2:$B$121,"TikTok"),"—")</f>
        <v>609</v>
      </c>
      <c r="E12" s="19" t="str">
        <f aca="false">IFERROR(AVERAGEIFS(Metriche!$J$2:$J$121,Metriche!$Q$2:$Q$121,"Con micro-trama",Metriche!$B$2:$B$121,"TikTok"),"—")</f>
        <v>—</v>
      </c>
      <c r="F12" s="11" t="n">
        <f aca="false">COUNTIFS(Metriche!$Q$2:$Q$121,"Con micro-trama",Metriche!$B$2:$B$121,"TikTok")</f>
        <v>1</v>
      </c>
    </row>
    <row r="14" customFormat="false" ht="15.75" hidden="false" customHeight="true" outlineLevel="0" collapsed="false">
      <c r="A14" s="17" t="s">
        <v>164</v>
      </c>
    </row>
    <row r="15" customFormat="false" ht="30" hidden="false" customHeight="true" outlineLevel="0" collapsed="false">
      <c r="A15" s="7" t="s">
        <v>10</v>
      </c>
      <c r="B15" s="7" t="s">
        <v>156</v>
      </c>
      <c r="C15" s="7" t="s">
        <v>157</v>
      </c>
      <c r="D15" s="7" t="s">
        <v>158</v>
      </c>
      <c r="E15" s="7" t="s">
        <v>159</v>
      </c>
      <c r="F15" s="7" t="s">
        <v>160</v>
      </c>
    </row>
    <row r="16" customFormat="false" ht="15" hidden="false" customHeight="false" outlineLevel="0" collapsed="false">
      <c r="A16" s="18" t="s">
        <v>37</v>
      </c>
      <c r="B16" s="16" t="str">
        <f aca="false">IFERROR(AVERAGEIFS(Metriche!$E$2:$E$121,Metriche!$N$2:$N$121,"Reel/Short",Metriche!$B$2:$B$121,"Instagram"),"—")</f>
        <v>—</v>
      </c>
      <c r="C16" s="16" t="str">
        <f aca="false">IFERROR(AVERAGEIFS(Metriche!$F$2:$F$121,Metriche!$N$2:$N$121,"Reel/Short",Metriche!$B$2:$B$121,"Instagram"),"—")</f>
        <v>—</v>
      </c>
      <c r="D16" s="19" t="n">
        <f aca="false">IFERROR(AVERAGEIFS(Metriche!$D$2:$D$121,Metriche!$N$2:$N$121,"Reel/Short",Metriche!$B$2:$B$121,"Instagram"),"—")</f>
        <v>588.333333333333</v>
      </c>
      <c r="E16" s="19" t="str">
        <f aca="false">IFERROR(AVERAGEIFS(Metriche!$J$2:$J$121,Metriche!$N$2:$N$121,"Reel/Short",Metriche!$B$2:$B$121,"Instagram"),"—")</f>
        <v>—</v>
      </c>
      <c r="F16" s="11" t="n">
        <f aca="false">COUNTIFS(Metriche!$N$2:$N$121,"Reel/Short",Metriche!$B$2:$B$121,"Instagram")</f>
        <v>3</v>
      </c>
    </row>
    <row r="17" customFormat="false" ht="15" hidden="false" customHeight="false" outlineLevel="0" collapsed="false">
      <c r="A17" s="18" t="s">
        <v>88</v>
      </c>
      <c r="B17" s="16" t="str">
        <f aca="false">IFERROR(AVERAGEIFS(Metriche!$E$2:$E$121,Metriche!$N$2:$N$121,"Carosello",Metriche!$B$2:$B$121,"Instagram"),"—")</f>
        <v>—</v>
      </c>
      <c r="C17" s="16" t="str">
        <f aca="false">IFERROR(AVERAGEIFS(Metriche!$F$2:$F$121,Metriche!$N$2:$N$121,"Carosello",Metriche!$B$2:$B$121,"Instagram"),"—")</f>
        <v>—</v>
      </c>
      <c r="D17" s="19" t="n">
        <f aca="false">IFERROR(AVERAGEIFS(Metriche!$D$2:$D$121,Metriche!$N$2:$N$121,"Carosello",Metriche!$B$2:$B$121,"Instagram"),"—")</f>
        <v>210</v>
      </c>
      <c r="E17" s="19" t="str">
        <f aca="false">IFERROR(AVERAGEIFS(Metriche!$J$2:$J$121,Metriche!$N$2:$N$121,"Carosello",Metriche!$B$2:$B$121,"Instagram"),"—")</f>
        <v>—</v>
      </c>
      <c r="F17" s="11" t="n">
        <f aca="false">COUNTIFS(Metriche!$N$2:$N$121,"Carosello",Metriche!$B$2:$B$121,"Instagram")</f>
        <v>1</v>
      </c>
    </row>
    <row r="18" customFormat="false" ht="15" hidden="false" customHeight="false" outlineLevel="0" collapsed="false">
      <c r="A18" s="18" t="s">
        <v>117</v>
      </c>
      <c r="B18" s="16" t="str">
        <f aca="false">IFERROR(AVERAGEIFS(Metriche!$E$2:$E$121,Metriche!$N$2:$N$121,"Tier list",Metriche!$B$2:$B$121,"Instagram"),"—")</f>
        <v>—</v>
      </c>
      <c r="C18" s="16" t="str">
        <f aca="false">IFERROR(AVERAGEIFS(Metriche!$F$2:$F$121,Metriche!$N$2:$N$121,"Tier list",Metriche!$B$2:$B$121,"Instagram"),"—")</f>
        <v>—</v>
      </c>
      <c r="D18" s="19" t="n">
        <f aca="false">IFERROR(AVERAGEIFS(Metriche!$D$2:$D$121,Metriche!$N$2:$N$121,"Tier list",Metriche!$B$2:$B$121,"Instagram"),"—")</f>
        <v>15888.5</v>
      </c>
      <c r="E18" s="19" t="str">
        <f aca="false">IFERROR(AVERAGEIFS(Metriche!$J$2:$J$121,Metriche!$N$2:$N$121,"Tier list",Metriche!$B$2:$B$121,"Instagram"),"—")</f>
        <v>—</v>
      </c>
      <c r="F18" s="11" t="n">
        <f aca="false">COUNTIFS(Metriche!$N$2:$N$121,"Tier list",Metriche!$B$2:$B$121,"Instagram")</f>
        <v>6</v>
      </c>
    </row>
    <row r="19" customFormat="false" ht="15.75" hidden="false" customHeight="true" outlineLevel="0" collapsed="false"/>
    <row r="20" customFormat="false" ht="30" hidden="false" customHeight="true" outlineLevel="0" collapsed="false">
      <c r="A20" s="17" t="s">
        <v>165</v>
      </c>
    </row>
    <row r="21" customFormat="false" ht="26.85" hidden="false" customHeight="false" outlineLevel="0" collapsed="false">
      <c r="A21" s="7" t="s">
        <v>12</v>
      </c>
      <c r="B21" s="7" t="s">
        <v>156</v>
      </c>
      <c r="C21" s="7" t="s">
        <v>157</v>
      </c>
      <c r="D21" s="7" t="s">
        <v>158</v>
      </c>
      <c r="E21" s="7" t="s">
        <v>159</v>
      </c>
      <c r="F21" s="7" t="s">
        <v>160</v>
      </c>
    </row>
    <row r="22" customFormat="false" ht="15" hidden="false" customHeight="false" outlineLevel="0" collapsed="false">
      <c r="A22" s="18" t="s">
        <v>38</v>
      </c>
      <c r="B22" s="16" t="str">
        <f aca="false">IFERROR(AVERAGEIFS(Metriche!$E$2:$E$121,Metriche!$O$2:$O$121,"Film"),"—")</f>
        <v>—</v>
      </c>
      <c r="C22" s="16" t="str">
        <f aca="false">IFERROR(AVERAGEIFS(Metriche!$F$2:$F$121,Metriche!$O$2:$O$121,"Film"),"—")</f>
        <v>—</v>
      </c>
      <c r="D22" s="19" t="n">
        <f aca="false">IFERROR(AVERAGEIFS(Metriche!$D$2:$D$121,Metriche!$O$2:$O$121,"Film"),"—")</f>
        <v>3246.54545454545</v>
      </c>
      <c r="E22" s="19" t="str">
        <f aca="false">IFERROR(AVERAGEIFS(Metriche!$J$2:$J$121,Metriche!$O$2:$O$121,"Film"),"—")</f>
        <v>—</v>
      </c>
      <c r="F22" s="11" t="n">
        <f aca="false">COUNTIFS(Metriche!$O$2:$O$121,"Film")</f>
        <v>11</v>
      </c>
    </row>
    <row r="23" customFormat="false" ht="15" hidden="false" customHeight="false" outlineLevel="0" collapsed="false">
      <c r="A23" s="18" t="s">
        <v>51</v>
      </c>
      <c r="B23" s="16" t="str">
        <f aca="false">IFERROR(AVERAGEIFS(Metriche!$E$2:$E$121,Metriche!$O$2:$O$121,"Serie"),"—")</f>
        <v>—</v>
      </c>
      <c r="C23" s="16" t="str">
        <f aca="false">IFERROR(AVERAGEIFS(Metriche!$F$2:$F$121,Metriche!$O$2:$O$121,"Serie"),"—")</f>
        <v>—</v>
      </c>
      <c r="D23" s="19" t="n">
        <f aca="false">IFERROR(AVERAGEIFS(Metriche!$D$2:$D$121,Metriche!$O$2:$O$121,"Serie"),"—")</f>
        <v>9152.88888888889</v>
      </c>
      <c r="E23" s="19" t="str">
        <f aca="false">IFERROR(AVERAGEIFS(Metriche!$J$2:$J$121,Metriche!$O$2:$O$121,"Serie"),"—")</f>
        <v>—</v>
      </c>
      <c r="F23" s="11" t="n">
        <f aca="false">COUNTIFS(Metriche!$O$2:$O$121,"Serie")</f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2026-06-25T09:25:51Z</dcterms:created>
  <dc:creator>openpyxl</dc:creator>
  <dc:description/>
  <dc:language>en-US</dc:language>
  <cp:lastModifiedBy>Fantini</cp:lastModifiedBy>
  <dcterms:modified xsi:type="dcterms:W3CDTF">2026-07-24T11:50:38Z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