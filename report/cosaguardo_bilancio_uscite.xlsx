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scite" sheetId="1" state="visible" r:id="rId3"/>
    <sheet name="Riepilogo" sheetId="2" state="visible" r:id="rId4"/>
    <sheet name="Ritorno Ad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<sst xmlns="http://schemas.openxmlformats.org/spreadsheetml/2006/main" count="100" uniqueCount="72">
  <si>
    <t xml:space="preserve">CosaGuardo — Bilancio uscite</t>
  </si>
  <si>
    <t xml:space="preserve">Registra qui ogni spesa. Celle GIALLE = da compilare. Ricorrenza: 'Una tantum', 'Mensile', 'Annuale' o 'Variabile' (es. Ads: importo speso finora).</t>
  </si>
  <si>
    <t xml:space="preserve">Data</t>
  </si>
  <si>
    <t xml:space="preserve">Categoria</t>
  </si>
  <si>
    <t xml:space="preserve">Voce / Descrizione</t>
  </si>
  <si>
    <t xml:space="preserve">Ricorrenza</t>
  </si>
  <si>
    <t xml:space="preserve">Importo</t>
  </si>
  <si>
    <t xml:space="preserve">Note</t>
  </si>
  <si>
    <t xml:space="preserve">Influencer</t>
  </si>
  <si>
    <t xml:space="preserve">ludovicaledger</t>
  </si>
  <si>
    <t xml:space="preserve">Una tantum</t>
  </si>
  <si>
    <t xml:space="preserve">41 sessioni, 1 sign_up + 2 install_click</t>
  </si>
  <si>
    <t xml:space="preserve">cinesocialclub (cnc)</t>
  </si>
  <si>
    <t xml:space="preserve">2 storie; engagement ok ma 0 conversioni</t>
  </si>
  <si>
    <t xml:space="preserve">unchained_cinema (test)</t>
  </si>
  <si>
    <t xml:space="preserve">Test</t>
  </si>
  <si>
    <t xml:space="preserve">Store / App</t>
  </si>
  <si>
    <t xml:space="preserve">Google Play (registrazione)</t>
  </si>
  <si>
    <t xml:space="preserve">Account sviluppatore (una tantum)</t>
  </si>
  <si>
    <t xml:space="preserve">Apple Developer Program</t>
  </si>
  <si>
    <t xml:space="preserve">Annuale</t>
  </si>
  <si>
    <t xml:space="preserve">Rinnovo annuale (ordine W1815035906)</t>
  </si>
  <si>
    <t xml:space="preserve">Hosting</t>
  </si>
  <si>
    <t xml:space="preserve">Render (Starter)</t>
  </si>
  <si>
    <t xml:space="preserve">Mensile</t>
  </si>
  <si>
    <t xml:space="preserve">Giu/Lug 7,5€; maggio 52,44€ per picco bot (poi rientrato)</t>
  </si>
  <si>
    <t xml:space="preserve">Software</t>
  </si>
  <si>
    <t xml:space="preserve">CapCut Pro</t>
  </si>
  <si>
    <t xml:space="preserve">1° mese</t>
  </si>
  <si>
    <t xml:space="preserve">Marketing / Ads</t>
  </si>
  <si>
    <t xml:space="preserve">Google Ads</t>
  </si>
  <si>
    <t xml:space="preserve">Variabile</t>
  </si>
  <si>
    <t xml:space="preserve">Speso finora (cumulativo)</t>
  </si>
  <si>
    <t xml:space="preserve">Instagram Ads</t>
  </si>
  <si>
    <t xml:space="preserve">Dominio (Namecheap)</t>
  </si>
  <si>
    <t xml:space="preserve">Rinnovo dominio cosaguardo.com</t>
  </si>
  <si>
    <t xml:space="preserve">Canva</t>
  </si>
  <si>
    <t xml:space="preserve">Piano GRATUITO (al momento)</t>
  </si>
  <si>
    <t xml:space="preserve">Metricool</t>
  </si>
  <si>
    <t xml:space="preserve">Claude (AI)</t>
  </si>
  <si>
    <t xml:space="preserve">Abbonamento (sviluppo + contenuti)</t>
  </si>
  <si>
    <t xml:space="preserve">Render - extra maggio (bot)</t>
  </si>
  <si>
    <t xml:space="preserve">Overage maggio (52,44 - 7,50 base), poi risolto con Cloudflare</t>
  </si>
  <si>
    <t xml:space="preserve">Video freelance (creatività ads)</t>
  </si>
  <si>
    <t xml:space="preserve">Video pubblicitario per le Ads (economico)</t>
  </si>
  <si>
    <t xml:space="preserve">Riepilogo uscite</t>
  </si>
  <si>
    <t xml:space="preserve">Per tipo di spesa</t>
  </si>
  <si>
    <t xml:space="preserve">Spese una tantum (totale)</t>
  </si>
  <si>
    <t xml:space="preserve">Ricorrenti - mensili</t>
  </si>
  <si>
    <t xml:space="preserve">Ricorrenti - annuali</t>
  </si>
  <si>
    <t xml:space="preserve">Ads / spese variabili (finora)</t>
  </si>
  <si>
    <t xml:space="preserve">Costo ricorrente</t>
  </si>
  <si>
    <t xml:space="preserve">Costo MENSILE equivalente</t>
  </si>
  <si>
    <t xml:space="preserve">(mensili + annuali/12)</t>
  </si>
  <si>
    <t xml:space="preserve">Costo ANNUALE equivalente</t>
  </si>
  <si>
    <t xml:space="preserve">(mensili x12 + annuali)</t>
  </si>
  <si>
    <t xml:space="preserve">Per categoria</t>
  </si>
  <si>
    <t xml:space="preserve">Altro</t>
  </si>
  <si>
    <t xml:space="preserve">TOTALE (tutte le voci)</t>
  </si>
  <si>
    <t xml:space="preserve">Nota: 'una tantum' = gia sostenute una volta. Il costo mensile/annuale equivalente stima l'impegno ricorrente.</t>
  </si>
  <si>
    <t xml:space="preserve">Ritorno Ads (efficienza per canale)</t>
  </si>
  <si>
    <t xml:space="preserve">Celle blu = dati inseriti da te. Visite e Costo/registrazione si calcolano da soli.</t>
  </si>
  <si>
    <t xml:space="preserve">Canale</t>
  </si>
  <si>
    <t xml:space="preserve">Spesa</t>
  </si>
  <si>
    <t xml:space="preserve">Costo/visita</t>
  </si>
  <si>
    <t xml:space="preserve">Visite (stima)</t>
  </si>
  <si>
    <t xml:space="preserve">Registrazioni</t>
  </si>
  <si>
    <t xml:space="preserve">Costo/registrazione</t>
  </si>
  <si>
    <t xml:space="preserve">Instagram</t>
  </si>
  <si>
    <t xml:space="preserve">Google</t>
  </si>
  <si>
    <t xml:space="preserve">Nota: Google registrazioni stimate 2-3 (uso 3). IG nettamente più efficiente: ~6€/registrazione vs ~19-29€ di Google.</t>
  </si>
  <si>
    <t xml:space="preserve">Early stage: nessun ritorno economico atteso ancora (per scelta). Focus: crescita del sito.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</si>
</sst>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&quot; €&quot;"/>
    <numFmt numFmtId="166" formatCode="#,##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2E6EE8"/>
      <name val="Arial"/>
      <family val="0"/>
      <charset val="1"/>
    </font>
    <font>
      <b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0B1020"/>
        <bgColor rgb="FF0000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6EE8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B102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8"/>
    <col collapsed="false" customWidth="true" hidden="false" outlineLevel="0" max="3" min="3" style="1" width="32"/>
    <col collapsed="false" customWidth="true" hidden="false" outlineLevel="0" max="5" min="4" style="1" width="14"/>
    <col collapsed="false" customWidth="true" hidden="false" outlineLevel="0" max="6" min="6" style="1" width="42"/>
  </cols>
  <sheetData>
    <row r="1" customFormat="false" ht="15.7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</row>
    <row r="5" customFormat="false" ht="15" hidden="false" customHeight="true" outlineLevel="0" collapsed="false">
      <c r="A5" s="5"/>
      <c r="B5" s="5" t="s">
        <v>8</v>
      </c>
      <c r="C5" s="5" t="s">
        <v>9</v>
      </c>
      <c r="D5" s="5" t="s">
        <v>10</v>
      </c>
      <c r="E5" s="6" t="n">
        <v>25</v>
      </c>
      <c r="F5" s="5" t="s">
        <v>11</v>
      </c>
    </row>
    <row r="6" customFormat="false" ht="15" hidden="false" customHeight="true" outlineLevel="0" collapsed="false">
      <c r="A6" s="5"/>
      <c r="B6" s="5" t="s">
        <v>8</v>
      </c>
      <c r="C6" s="5" t="s">
        <v>12</v>
      </c>
      <c r="D6" s="5" t="s">
        <v>10</v>
      </c>
      <c r="E6" s="6" t="n">
        <v>20</v>
      </c>
      <c r="F6" s="5" t="s">
        <v>13</v>
      </c>
    </row>
    <row r="7" customFormat="false" ht="15" hidden="false" customHeight="true" outlineLevel="0" collapsed="false">
      <c r="A7" s="5"/>
      <c r="B7" s="5" t="s">
        <v>8</v>
      </c>
      <c r="C7" s="5" t="s">
        <v>14</v>
      </c>
      <c r="D7" s="5" t="s">
        <v>10</v>
      </c>
      <c r="E7" s="6" t="n">
        <v>10</v>
      </c>
      <c r="F7" s="5" t="s">
        <v>15</v>
      </c>
    </row>
    <row r="8" customFormat="false" ht="15" hidden="false" customHeight="true" outlineLevel="0" collapsed="false">
      <c r="A8" s="5"/>
      <c r="B8" s="5" t="s">
        <v>16</v>
      </c>
      <c r="C8" s="5" t="s">
        <v>17</v>
      </c>
      <c r="D8" s="5" t="s">
        <v>10</v>
      </c>
      <c r="E8" s="6" t="n">
        <v>15</v>
      </c>
      <c r="F8" s="5" t="s">
        <v>18</v>
      </c>
    </row>
    <row r="9" customFormat="false" ht="15" hidden="false" customHeight="true" outlineLevel="0" collapsed="false">
      <c r="A9" s="5"/>
      <c r="B9" s="5" t="s">
        <v>16</v>
      </c>
      <c r="C9" s="5" t="s">
        <v>19</v>
      </c>
      <c r="D9" s="5" t="s">
        <v>20</v>
      </c>
      <c r="E9" s="6" t="n">
        <v>99</v>
      </c>
      <c r="F9" s="5" t="s">
        <v>21</v>
      </c>
    </row>
    <row r="10" customFormat="false" ht="15" hidden="false" customHeight="true" outlineLevel="0" collapsed="false">
      <c r="A10" s="5"/>
      <c r="B10" s="5" t="s">
        <v>22</v>
      </c>
      <c r="C10" s="5" t="s">
        <v>23</v>
      </c>
      <c r="D10" s="5" t="s">
        <v>24</v>
      </c>
      <c r="E10" s="6" t="n">
        <v>7.5</v>
      </c>
      <c r="F10" s="5" t="s">
        <v>25</v>
      </c>
    </row>
    <row r="11" customFormat="false" ht="15" hidden="false" customHeight="true" outlineLevel="0" collapsed="false">
      <c r="A11" s="5"/>
      <c r="B11" s="5" t="s">
        <v>26</v>
      </c>
      <c r="C11" s="5" t="s">
        <v>27</v>
      </c>
      <c r="D11" s="5" t="s">
        <v>24</v>
      </c>
      <c r="E11" s="6" t="n">
        <v>10</v>
      </c>
      <c r="F11" s="5" t="s">
        <v>28</v>
      </c>
    </row>
    <row r="12" customFormat="false" ht="15" hidden="false" customHeight="true" outlineLevel="0" collapsed="false">
      <c r="A12" s="5"/>
      <c r="B12" s="5" t="s">
        <v>29</v>
      </c>
      <c r="C12" s="5" t="s">
        <v>30</v>
      </c>
      <c r="D12" s="5" t="s">
        <v>31</v>
      </c>
      <c r="E12" s="6" t="n">
        <v>58</v>
      </c>
      <c r="F12" s="5" t="s">
        <v>32</v>
      </c>
    </row>
    <row r="13" customFormat="false" ht="15" hidden="false" customHeight="true" outlineLevel="0" collapsed="false">
      <c r="A13" s="7"/>
      <c r="B13" s="5" t="s">
        <v>29</v>
      </c>
      <c r="C13" s="5" t="s">
        <v>33</v>
      </c>
      <c r="D13" s="5" t="s">
        <v>31</v>
      </c>
      <c r="E13" s="6" t="n">
        <v>562</v>
      </c>
      <c r="F13" s="5" t="s">
        <v>32</v>
      </c>
    </row>
    <row r="14" customFormat="false" ht="15" hidden="false" customHeight="true" outlineLevel="0" collapsed="false">
      <c r="A14" s="7"/>
      <c r="B14" s="5" t="s">
        <v>22</v>
      </c>
      <c r="C14" s="5" t="s">
        <v>34</v>
      </c>
      <c r="D14" s="5" t="s">
        <v>20</v>
      </c>
      <c r="E14" s="6" t="n">
        <v>10</v>
      </c>
      <c r="F14" s="5" t="s">
        <v>35</v>
      </c>
    </row>
    <row r="15" customFormat="false" ht="15" hidden="false" customHeight="true" outlineLevel="0" collapsed="false">
      <c r="A15" s="7"/>
      <c r="B15" s="5" t="s">
        <v>26</v>
      </c>
      <c r="C15" s="5" t="s">
        <v>36</v>
      </c>
      <c r="D15" s="5" t="s">
        <v>24</v>
      </c>
      <c r="E15" s="6" t="n">
        <v>0</v>
      </c>
      <c r="F15" s="5" t="s">
        <v>37</v>
      </c>
    </row>
    <row r="16" customFormat="false" ht="15" hidden="false" customHeight="true" outlineLevel="0" collapsed="false">
      <c r="A16" s="7"/>
      <c r="B16" s="5" t="s">
        <v>26</v>
      </c>
      <c r="C16" s="5" t="s">
        <v>38</v>
      </c>
      <c r="D16" s="5" t="s">
        <v>24</v>
      </c>
      <c r="E16" s="6" t="n">
        <v>0</v>
      </c>
      <c r="F16" s="5" t="s">
        <v>37</v>
      </c>
    </row>
    <row r="17" customFormat="false" ht="15" hidden="false" customHeight="true" outlineLevel="0" collapsed="false">
      <c r="A17" s="7"/>
      <c r="B17" s="5" t="s">
        <v>26</v>
      </c>
      <c r="C17" s="5" t="s">
        <v>39</v>
      </c>
      <c r="D17" s="5" t="s">
        <v>24</v>
      </c>
      <c r="E17" s="6" t="n">
        <v>90</v>
      </c>
      <c r="F17" s="5" t="s">
        <v>40</v>
      </c>
    </row>
    <row r="18" customFormat="false" ht="15" hidden="false" customHeight="true" outlineLevel="0" collapsed="false">
      <c r="A18" s="7"/>
      <c r="B18" s="5" t="s">
        <v>22</v>
      </c>
      <c r="C18" s="5" t="s">
        <v>41</v>
      </c>
      <c r="D18" s="5" t="s">
        <v>10</v>
      </c>
      <c r="E18" s="6" t="n">
        <v>44.94</v>
      </c>
      <c r="F18" s="5" t="s">
        <v>42</v>
      </c>
    </row>
    <row r="19" customFormat="false" ht="15" hidden="false" customHeight="true" outlineLevel="0" collapsed="false">
      <c r="A19" s="7"/>
      <c r="B19" s="5" t="s">
        <v>29</v>
      </c>
      <c r="C19" s="5" t="s">
        <v>43</v>
      </c>
      <c r="D19" s="5" t="s">
        <v>10</v>
      </c>
      <c r="E19" s="6" t="n">
        <v>31.44</v>
      </c>
      <c r="F19" s="5" t="s">
        <v>44</v>
      </c>
    </row>
    <row r="20" customFormat="false" ht="15" hidden="false" customHeight="true" outlineLevel="0" collapsed="false">
      <c r="A20" s="7"/>
      <c r="B20" s="7"/>
      <c r="C20" s="7"/>
      <c r="D20" s="7"/>
      <c r="E20" s="6"/>
      <c r="F20" s="7"/>
    </row>
    <row r="21" customFormat="false" ht="15" hidden="false" customHeight="true" outlineLevel="0" collapsed="false">
      <c r="A21" s="7"/>
      <c r="B21" s="7"/>
      <c r="C21" s="7"/>
      <c r="D21" s="7"/>
      <c r="E21" s="6"/>
      <c r="F21" s="7"/>
    </row>
    <row r="22" customFormat="false" ht="15" hidden="false" customHeight="true" outlineLevel="0" collapsed="false">
      <c r="A22" s="7"/>
      <c r="B22" s="7"/>
      <c r="C22" s="7"/>
      <c r="D22" s="7"/>
      <c r="E22" s="6"/>
      <c r="F22" s="7"/>
    </row>
    <row r="23" customFormat="false" ht="15" hidden="false" customHeight="true" outlineLevel="0" collapsed="false">
      <c r="A23" s="7"/>
      <c r="B23" s="7"/>
      <c r="C23" s="7"/>
      <c r="D23" s="7"/>
      <c r="E23" s="6"/>
      <c r="F23" s="7"/>
    </row>
    <row r="24" customFormat="false" ht="15" hidden="false" customHeight="true" outlineLevel="0" collapsed="false">
      <c r="A24" s="7"/>
      <c r="B24" s="7"/>
      <c r="C24" s="7"/>
      <c r="D24" s="7"/>
      <c r="E24" s="6"/>
      <c r="F24" s="7"/>
    </row>
    <row r="25" customFormat="false" ht="15" hidden="false" customHeight="true" outlineLevel="0" collapsed="false">
      <c r="A25" s="7"/>
      <c r="B25" s="7"/>
      <c r="C25" s="7"/>
      <c r="D25" s="7"/>
      <c r="E25" s="6"/>
      <c r="F25" s="7"/>
    </row>
    <row r="26" customFormat="false" ht="15" hidden="false" customHeight="true" outlineLevel="0" collapsed="false">
      <c r="A26" s="7"/>
      <c r="B26" s="7"/>
      <c r="C26" s="7"/>
      <c r="D26" s="7"/>
      <c r="E26" s="6"/>
      <c r="F26" s="7"/>
    </row>
    <row r="27" customFormat="false" ht="15" hidden="false" customHeight="true" outlineLevel="0" collapsed="false">
      <c r="A27" s="7"/>
      <c r="B27" s="7"/>
      <c r="C27" s="7"/>
      <c r="D27" s="7"/>
      <c r="E27" s="6"/>
      <c r="F27" s="7"/>
    </row>
    <row r="28" customFormat="false" ht="15" hidden="false" customHeight="true" outlineLevel="0" collapsed="false">
      <c r="A28" s="7"/>
      <c r="B28" s="7"/>
      <c r="C28" s="7"/>
      <c r="D28" s="7"/>
      <c r="E28" s="6"/>
      <c r="F28" s="7"/>
    </row>
    <row r="29" customFormat="false" ht="15" hidden="false" customHeight="true" outlineLevel="0" collapsed="false">
      <c r="A29" s="7"/>
      <c r="B29" s="7"/>
      <c r="C29" s="7"/>
      <c r="D29" s="7"/>
      <c r="E29" s="6"/>
      <c r="F29" s="7"/>
    </row>
    <row r="30" customFormat="false" ht="15" hidden="false" customHeight="true" outlineLevel="0" collapsed="false">
      <c r="A30" s="7"/>
      <c r="B30" s="7"/>
      <c r="C30" s="7"/>
      <c r="D30" s="7"/>
      <c r="E30" s="6"/>
      <c r="F30" s="7"/>
    </row>
    <row r="31" customFormat="false" ht="15" hidden="false" customHeight="true" outlineLevel="0" collapsed="false">
      <c r="A31" s="7"/>
      <c r="B31" s="7"/>
      <c r="C31" s="7"/>
      <c r="D31" s="7"/>
      <c r="E31" s="6"/>
      <c r="F31" s="7"/>
    </row>
    <row r="32" customFormat="false" ht="15" hidden="false" customHeight="true" outlineLevel="0" collapsed="false">
      <c r="A32" s="7"/>
      <c r="B32" s="7"/>
      <c r="C32" s="7"/>
      <c r="D32" s="7"/>
      <c r="E32" s="6"/>
      <c r="F32" s="7"/>
    </row>
    <row r="33" customFormat="false" ht="15" hidden="false" customHeight="true" outlineLevel="0" collapsed="false">
      <c r="A33" s="7"/>
      <c r="B33" s="7"/>
      <c r="C33" s="7"/>
      <c r="D33" s="7"/>
      <c r="E33" s="6"/>
      <c r="F33" s="7"/>
    </row>
    <row r="34" customFormat="false" ht="15" hidden="false" customHeight="true" outlineLevel="0" collapsed="false">
      <c r="A34" s="7"/>
      <c r="B34" s="7"/>
      <c r="C34" s="7"/>
      <c r="D34" s="7"/>
      <c r="E34" s="6"/>
      <c r="F34" s="7"/>
    </row>
    <row r="35" customFormat="false" ht="15" hidden="false" customHeight="true" outlineLevel="0" collapsed="false">
      <c r="A35" s="7"/>
      <c r="B35" s="7"/>
      <c r="C35" s="7"/>
      <c r="D35" s="7"/>
      <c r="E35" s="6"/>
      <c r="F35" s="7"/>
    </row>
    <row r="36" customFormat="false" ht="15" hidden="false" customHeight="true" outlineLevel="0" collapsed="false">
      <c r="A36" s="7"/>
      <c r="B36" s="7"/>
      <c r="C36" s="7"/>
      <c r="D36" s="7"/>
      <c r="E36" s="6"/>
      <c r="F36" s="7"/>
    </row>
    <row r="37" customFormat="false" ht="15" hidden="false" customHeight="true" outlineLevel="0" collapsed="false">
      <c r="A37" s="7"/>
      <c r="B37" s="7"/>
      <c r="C37" s="7"/>
      <c r="D37" s="7"/>
      <c r="E37" s="6"/>
      <c r="F37" s="7"/>
    </row>
    <row r="38" customFormat="false" ht="15" hidden="false" customHeight="true" outlineLevel="0" collapsed="false">
      <c r="A38" s="7"/>
      <c r="B38" s="7"/>
      <c r="C38" s="7"/>
      <c r="D38" s="7"/>
      <c r="E38" s="6"/>
      <c r="F38" s="7"/>
    </row>
    <row r="39" customFormat="false" ht="15" hidden="false" customHeight="true" outlineLevel="0" collapsed="false">
      <c r="A39" s="7"/>
      <c r="B39" s="7"/>
      <c r="C39" s="7"/>
      <c r="D39" s="7"/>
      <c r="E39" s="6"/>
      <c r="F39" s="7"/>
    </row>
    <row r="40" customFormat="false" ht="1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6"/>
    <col collapsed="false" customWidth="true" hidden="false" outlineLevel="0" max="3" min="3" style="1" width="22"/>
  </cols>
  <sheetData>
    <row r="1" customFormat="false" ht="15.75" hidden="false" customHeight="true" outlineLevel="0" collapsed="false">
      <c r="A1" s="2" t="s">
        <v>45</v>
      </c>
    </row>
    <row r="3" customFormat="false" ht="15" hidden="false" customHeight="true" outlineLevel="0" collapsed="false">
      <c r="A3" s="8" t="s">
        <v>46</v>
      </c>
    </row>
    <row r="4" customFormat="false" ht="15" hidden="false" customHeight="true" outlineLevel="0" collapsed="false">
      <c r="A4" s="9" t="s">
        <v>47</v>
      </c>
      <c r="B4" s="10" t="n">
        <f aca="false">SUMIF(Uscite!$D$5:$D$40,"Una tantum",Uscite!$E$5:$E$40)</f>
        <v>146.38</v>
      </c>
    </row>
    <row r="5" customFormat="false" ht="15" hidden="false" customHeight="true" outlineLevel="0" collapsed="false">
      <c r="A5" s="9" t="s">
        <v>48</v>
      </c>
      <c r="B5" s="10" t="n">
        <f aca="false">SUMIF(Uscite!$D$5:$D$40,"Mensile",Uscite!$E$5:$E$40)</f>
        <v>107.5</v>
      </c>
    </row>
    <row r="6" customFormat="false" ht="15" hidden="false" customHeight="true" outlineLevel="0" collapsed="false">
      <c r="A6" s="9" t="s">
        <v>49</v>
      </c>
      <c r="B6" s="10" t="n">
        <f aca="false">SUMIF(Uscite!$D$5:$D$40,"Annuale",Uscite!$E$5:$E$40)</f>
        <v>109</v>
      </c>
    </row>
    <row r="7" customFormat="false" ht="15" hidden="false" customHeight="true" outlineLevel="0" collapsed="false">
      <c r="A7" s="9" t="s">
        <v>50</v>
      </c>
      <c r="B7" s="10" t="n">
        <f aca="false">SUMIF(Uscite!$D$5:$D$40,"Variabile",Uscite!$E$5:$E$40)</f>
        <v>620</v>
      </c>
    </row>
    <row r="8" customFormat="false" ht="15" hidden="false" customHeight="true" outlineLevel="0" collapsed="false">
      <c r="A8" s="8" t="s">
        <v>51</v>
      </c>
    </row>
    <row r="9" customFormat="false" ht="15" hidden="false" customHeight="true" outlineLevel="0" collapsed="false">
      <c r="A9" s="11" t="s">
        <v>52</v>
      </c>
      <c r="B9" s="12" t="n">
        <f aca="false">B5+B6/12</f>
        <v>116.583333333333</v>
      </c>
      <c r="C9" s="3" t="s">
        <v>53</v>
      </c>
    </row>
    <row r="10" customFormat="false" ht="15" hidden="false" customHeight="true" outlineLevel="0" collapsed="false">
      <c r="A10" s="11" t="s">
        <v>54</v>
      </c>
      <c r="B10" s="12" t="n">
        <f aca="false">B5*12+B6</f>
        <v>1399</v>
      </c>
      <c r="C10" s="3" t="s">
        <v>55</v>
      </c>
    </row>
    <row r="12" customFormat="false" ht="15" hidden="false" customHeight="true" outlineLevel="0" collapsed="false">
      <c r="A12" s="8" t="s">
        <v>56</v>
      </c>
    </row>
    <row r="13" customFormat="false" ht="15" hidden="false" customHeight="true" outlineLevel="0" collapsed="false">
      <c r="A13" s="9" t="s">
        <v>22</v>
      </c>
      <c r="B13" s="10" t="n">
        <f aca="false">SUMIF(Uscite!$B$5:$B$40,"Hosting",Uscite!$E$5:$E$40)</f>
        <v>62.44</v>
      </c>
    </row>
    <row r="14" customFormat="false" ht="15" hidden="false" customHeight="true" outlineLevel="0" collapsed="false">
      <c r="A14" s="9" t="s">
        <v>26</v>
      </c>
      <c r="B14" s="10" t="n">
        <f aca="false">SUMIF(Uscite!$B$5:$B$40,"Software",Uscite!$E$5:$E$40)</f>
        <v>100</v>
      </c>
    </row>
    <row r="15" customFormat="false" ht="15" hidden="false" customHeight="true" outlineLevel="0" collapsed="false">
      <c r="A15" s="9" t="s">
        <v>29</v>
      </c>
      <c r="B15" s="10" t="n">
        <f aca="false">SUMIF(Uscite!$B$5:$B$40,"Marketing / Ads",Uscite!$E$5:$E$40)</f>
        <v>651.44</v>
      </c>
    </row>
    <row r="16" customFormat="false" ht="15" hidden="false" customHeight="true" outlineLevel="0" collapsed="false">
      <c r="A16" s="9" t="s">
        <v>8</v>
      </c>
      <c r="B16" s="10" t="n">
        <f aca="false">SUMIF(Uscite!$B$5:$B$40,"Influencer",Uscite!$E$5:$E$40)</f>
        <v>55</v>
      </c>
    </row>
    <row r="17" customFormat="false" ht="15" hidden="false" customHeight="true" outlineLevel="0" collapsed="false">
      <c r="A17" s="9" t="s">
        <v>16</v>
      </c>
      <c r="B17" s="10" t="n">
        <f aca="false">SUMIF(Uscite!$B$5:$B$40,"Store / App",Uscite!$E$5:$E$40)</f>
        <v>114</v>
      </c>
    </row>
    <row r="18" customFormat="false" ht="15" hidden="false" customHeight="true" outlineLevel="0" collapsed="false">
      <c r="A18" s="9" t="s">
        <v>57</v>
      </c>
      <c r="B18" s="10" t="n">
        <f aca="false">SUMIF(Uscite!$B$5:$B$40,"Altro",Uscite!$E$5:$E$40)</f>
        <v>0</v>
      </c>
    </row>
    <row r="19" customFormat="false" ht="15" hidden="false" customHeight="true" outlineLevel="0" collapsed="false">
      <c r="A19" s="11" t="s">
        <v>58</v>
      </c>
      <c r="B19" s="12" t="n">
        <f aca="false">SUM(Uscite!$E$5:$E$40)</f>
        <v>982.88</v>
      </c>
    </row>
    <row r="20" customFormat="false" ht="15" hidden="false" customHeight="true" outlineLevel="0" collapsed="false">
      <c r="A20" s="3" t="s">
        <v>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3" min="3" style="0" width="13"/>
    <col collapsed="false" customWidth="true" hidden="false" outlineLevel="0" max="5" min="4" style="0" width="14"/>
    <col collapsed="false" customWidth="true" hidden="false" outlineLevel="0" max="6" min="6" style="0" width="18"/>
  </cols>
  <sheetData>
    <row r="1" customFormat="false" ht="16.15" hidden="false" customHeight="false" outlineLevel="0" collapsed="false">
      <c r="A1" s="13" t="s">
        <v>60</v>
      </c>
    </row>
    <row r="2" customFormat="false" ht="15" hidden="false" customHeight="false" outlineLevel="0" collapsed="false">
      <c r="A2" s="14" t="s">
        <v>61</v>
      </c>
    </row>
    <row r="4" customFormat="false" ht="26.85" hidden="false" customHeight="false" outlineLevel="0" collapsed="false">
      <c r="A4" s="15" t="s">
        <v>62</v>
      </c>
      <c r="B4" s="15" t="s">
        <v>63</v>
      </c>
      <c r="C4" s="15" t="s">
        <v>64</v>
      </c>
      <c r="D4" s="15" t="s">
        <v>65</v>
      </c>
      <c r="E4" s="15" t="s">
        <v>66</v>
      </c>
      <c r="F4" s="15" t="s">
        <v>67</v>
      </c>
    </row>
    <row r="5" customFormat="false" ht="15" hidden="false" customHeight="false" outlineLevel="0" collapsed="false">
      <c r="A5" s="16" t="s">
        <v>68</v>
      </c>
      <c r="B5" s="17" t="n">
        <v>562</v>
      </c>
      <c r="C5" s="17" t="n">
        <v>0.15</v>
      </c>
      <c r="D5" s="18" t="n">
        <f aca="false">IF(C5=0,0,B5/C5)</f>
        <v>3746.66666666667</v>
      </c>
      <c r="E5" s="19" t="n">
        <v>90</v>
      </c>
      <c r="F5" s="20" t="n">
        <f aca="false">IF(E5=0,0,B5/E5)</f>
        <v>6.24444444444444</v>
      </c>
    </row>
    <row r="6" customFormat="false" ht="15" hidden="false" customHeight="false" outlineLevel="0" collapsed="false">
      <c r="A6" s="16" t="s">
        <v>69</v>
      </c>
      <c r="B6" s="17" t="n">
        <v>58</v>
      </c>
      <c r="C6" s="17" t="n">
        <v>0.6</v>
      </c>
      <c r="D6" s="18" t="n">
        <f aca="false">IF(C6=0,0,B6/C6)</f>
        <v>96.6666666666667</v>
      </c>
      <c r="E6" s="19" t="n">
        <v>3</v>
      </c>
      <c r="F6" s="20" t="n">
        <f aca="false">IF(E6=0,0,B6/E6)</f>
        <v>19.3333333333333</v>
      </c>
    </row>
    <row r="8" customFormat="false" ht="15" hidden="false" customHeight="false" outlineLevel="0" collapsed="false">
      <c r="A8" s="14" t="s">
        <v>70</v>
      </c>
    </row>
    <row r="9" customFormat="false" ht="15" hidden="false" customHeight="false" outlineLevel="0" collapsed="false">
      <c r="A9" s="14" t="s">
        <v>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2026-07-17T19:31:06Z</dcterms:created>
  <dc:creator>openpyxl</dc:creator>
  <dc:description/>
  <dc:language>en-US</dc:language>
  <cp:lastModifiedBy/>
  <dcterms:modified xsi:type="dcterms:W3CDTF">2026-07-20T14:38:13Z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